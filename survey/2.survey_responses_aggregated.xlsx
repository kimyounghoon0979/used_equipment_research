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esktop\대표님 논문\석사5\"/>
    </mc:Choice>
  </mc:AlternateContent>
  <bookViews>
    <workbookView xWindow="0" yWindow="0" windowWidth="28800" windowHeight="11955"/>
  </bookViews>
  <sheets>
    <sheet name="설문조사정리" sheetId="1" r:id="rId1"/>
  </sheets>
  <externalReferences>
    <externalReference r:id="rId2"/>
  </externalReferences>
  <definedNames>
    <definedName name="_xlnm.Print_Area" localSheetId="0">설문조사정리!$A$1:$AD$95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3" i="1" l="1"/>
  <c r="R73" i="1"/>
  <c r="D73" i="1"/>
  <c r="C73" i="1"/>
  <c r="W72" i="1"/>
  <c r="V72" i="1"/>
  <c r="S72" i="1"/>
  <c r="R72" i="1"/>
  <c r="H72" i="1"/>
  <c r="G72" i="1"/>
  <c r="D72" i="1"/>
  <c r="C72" i="1"/>
  <c r="W71" i="1"/>
  <c r="V71" i="1"/>
  <c r="S71" i="1"/>
  <c r="R71" i="1"/>
  <c r="H71" i="1"/>
  <c r="G71" i="1"/>
  <c r="D71" i="1"/>
  <c r="C71" i="1"/>
  <c r="W70" i="1"/>
  <c r="V70" i="1"/>
  <c r="S70" i="1"/>
  <c r="R70" i="1"/>
  <c r="H70" i="1"/>
  <c r="G70" i="1"/>
  <c r="D70" i="1"/>
  <c r="C70" i="1"/>
  <c r="W69" i="1"/>
  <c r="V69" i="1"/>
  <c r="S69" i="1"/>
  <c r="R69" i="1"/>
  <c r="H69" i="1"/>
  <c r="G69" i="1"/>
  <c r="D69" i="1"/>
  <c r="C69" i="1"/>
  <c r="AB64" i="1"/>
  <c r="AA64" i="1"/>
  <c r="Z64" i="1"/>
  <c r="Y64" i="1"/>
  <c r="X64" i="1"/>
  <c r="W64" i="1"/>
  <c r="V64" i="1"/>
  <c r="U64" i="1"/>
  <c r="T64" i="1"/>
  <c r="S64" i="1"/>
  <c r="AC64" i="1" s="1"/>
  <c r="AD64" i="1" s="1"/>
  <c r="R64" i="1"/>
  <c r="Q64" i="1"/>
  <c r="M64" i="1"/>
  <c r="N64" i="1" s="1"/>
  <c r="O64" i="1" s="1"/>
  <c r="L64" i="1"/>
  <c r="K64" i="1"/>
  <c r="J64" i="1"/>
  <c r="I64" i="1"/>
  <c r="H64" i="1"/>
  <c r="G64" i="1"/>
  <c r="F64" i="1"/>
  <c r="E64" i="1"/>
  <c r="D64" i="1"/>
  <c r="C64" i="1"/>
  <c r="B64" i="1"/>
  <c r="AB63" i="1"/>
  <c r="AA63" i="1"/>
  <c r="Z63" i="1"/>
  <c r="AC63" i="1" s="1"/>
  <c r="AD63" i="1" s="1"/>
  <c r="Y63" i="1"/>
  <c r="X63" i="1"/>
  <c r="W63" i="1"/>
  <c r="V63" i="1"/>
  <c r="U63" i="1"/>
  <c r="T63" i="1"/>
  <c r="S63" i="1"/>
  <c r="R63" i="1"/>
  <c r="Q63" i="1"/>
  <c r="M63" i="1"/>
  <c r="L63" i="1"/>
  <c r="K63" i="1"/>
  <c r="J63" i="1"/>
  <c r="I63" i="1"/>
  <c r="N63" i="1" s="1"/>
  <c r="O63" i="1" s="1"/>
  <c r="H63" i="1"/>
  <c r="G63" i="1"/>
  <c r="F63" i="1"/>
  <c r="E63" i="1"/>
  <c r="D63" i="1"/>
  <c r="C63" i="1"/>
  <c r="B63" i="1"/>
  <c r="AB62" i="1"/>
  <c r="AA62" i="1"/>
  <c r="Z62" i="1"/>
  <c r="Y62" i="1"/>
  <c r="X62" i="1"/>
  <c r="W62" i="1"/>
  <c r="V62" i="1"/>
  <c r="U62" i="1"/>
  <c r="T62" i="1"/>
  <c r="AC62" i="1" s="1"/>
  <c r="AD62" i="1" s="1"/>
  <c r="S62" i="1"/>
  <c r="R62" i="1"/>
  <c r="Q62" i="1"/>
  <c r="M62" i="1"/>
  <c r="L62" i="1"/>
  <c r="K62" i="1"/>
  <c r="J62" i="1"/>
  <c r="I62" i="1"/>
  <c r="H62" i="1"/>
  <c r="G62" i="1"/>
  <c r="F62" i="1"/>
  <c r="E62" i="1"/>
  <c r="N62" i="1" s="1"/>
  <c r="O62" i="1" s="1"/>
  <c r="D62" i="1"/>
  <c r="C62" i="1"/>
  <c r="B62" i="1"/>
  <c r="AB61" i="1"/>
  <c r="AA61" i="1"/>
  <c r="Z61" i="1"/>
  <c r="Y61" i="1"/>
  <c r="X61" i="1"/>
  <c r="W61" i="1"/>
  <c r="V61" i="1"/>
  <c r="U61" i="1"/>
  <c r="T61" i="1"/>
  <c r="S61" i="1"/>
  <c r="AC61" i="1" s="1"/>
  <c r="AD61" i="1" s="1"/>
  <c r="R61" i="1"/>
  <c r="Q61" i="1"/>
  <c r="M61" i="1"/>
  <c r="L61" i="1"/>
  <c r="K61" i="1"/>
  <c r="J61" i="1"/>
  <c r="I61" i="1"/>
  <c r="H61" i="1"/>
  <c r="G61" i="1"/>
  <c r="F61" i="1"/>
  <c r="E61" i="1"/>
  <c r="D61" i="1"/>
  <c r="N61" i="1" s="1"/>
  <c r="O61" i="1" s="1"/>
  <c r="C61" i="1"/>
  <c r="B61" i="1"/>
  <c r="AB60" i="1"/>
  <c r="AA60" i="1"/>
  <c r="Z60" i="1"/>
  <c r="Y60" i="1"/>
  <c r="X60" i="1"/>
  <c r="W60" i="1"/>
  <c r="V60" i="1"/>
  <c r="U60" i="1"/>
  <c r="T60" i="1"/>
  <c r="S60" i="1"/>
  <c r="AC60" i="1" s="1"/>
  <c r="AD60" i="1" s="1"/>
  <c r="R60" i="1"/>
  <c r="Q60" i="1"/>
  <c r="M60" i="1"/>
  <c r="N60" i="1" s="1"/>
  <c r="O60" i="1" s="1"/>
  <c r="L60" i="1"/>
  <c r="K60" i="1"/>
  <c r="J60" i="1"/>
  <c r="I60" i="1"/>
  <c r="H60" i="1"/>
  <c r="G60" i="1"/>
  <c r="F60" i="1"/>
  <c r="E60" i="1"/>
  <c r="D60" i="1"/>
  <c r="C60" i="1"/>
  <c r="B60" i="1"/>
  <c r="AB59" i="1"/>
  <c r="AA59" i="1"/>
  <c r="Z59" i="1"/>
  <c r="AC59" i="1" s="1"/>
  <c r="AD59" i="1" s="1"/>
  <c r="Y59" i="1"/>
  <c r="X59" i="1"/>
  <c r="W59" i="1"/>
  <c r="V59" i="1"/>
  <c r="U59" i="1"/>
  <c r="T59" i="1"/>
  <c r="S59" i="1"/>
  <c r="R59" i="1"/>
  <c r="Q59" i="1"/>
  <c r="M59" i="1"/>
  <c r="L59" i="1"/>
  <c r="K59" i="1"/>
  <c r="J59" i="1"/>
  <c r="I59" i="1"/>
  <c r="N59" i="1" s="1"/>
  <c r="O59" i="1" s="1"/>
  <c r="H59" i="1"/>
  <c r="G59" i="1"/>
  <c r="F59" i="1"/>
  <c r="E59" i="1"/>
  <c r="D59" i="1"/>
  <c r="C59" i="1"/>
  <c r="B59" i="1"/>
  <c r="AB58" i="1"/>
  <c r="AA58" i="1"/>
  <c r="Z58" i="1"/>
  <c r="Y58" i="1"/>
  <c r="X58" i="1"/>
  <c r="W58" i="1"/>
  <c r="V58" i="1"/>
  <c r="U58" i="1"/>
  <c r="T58" i="1"/>
  <c r="AC58" i="1" s="1"/>
  <c r="AD58" i="1" s="1"/>
  <c r="S58" i="1"/>
  <c r="R58" i="1"/>
  <c r="Q58" i="1"/>
  <c r="M58" i="1"/>
  <c r="L58" i="1"/>
  <c r="K58" i="1"/>
  <c r="J58" i="1"/>
  <c r="I58" i="1"/>
  <c r="H58" i="1"/>
  <c r="G58" i="1"/>
  <c r="F58" i="1"/>
  <c r="E58" i="1"/>
  <c r="N58" i="1" s="1"/>
  <c r="O58" i="1" s="1"/>
  <c r="D58" i="1"/>
  <c r="C58" i="1"/>
  <c r="B58" i="1"/>
  <c r="AB57" i="1"/>
  <c r="AA57" i="1"/>
  <c r="Z57" i="1"/>
  <c r="Y57" i="1"/>
  <c r="X57" i="1"/>
  <c r="W57" i="1"/>
  <c r="V57" i="1"/>
  <c r="U57" i="1"/>
  <c r="T57" i="1"/>
  <c r="S57" i="1"/>
  <c r="AC57" i="1" s="1"/>
  <c r="AD57" i="1" s="1"/>
  <c r="R57" i="1"/>
  <c r="Q57" i="1"/>
  <c r="M57" i="1"/>
  <c r="L57" i="1"/>
  <c r="K57" i="1"/>
  <c r="J57" i="1"/>
  <c r="I57" i="1"/>
  <c r="H57" i="1"/>
  <c r="G57" i="1"/>
  <c r="F57" i="1"/>
  <c r="E57" i="1"/>
  <c r="D57" i="1"/>
  <c r="N57" i="1" s="1"/>
  <c r="O57" i="1" s="1"/>
  <c r="C57" i="1"/>
  <c r="B57" i="1"/>
  <c r="AB56" i="1"/>
  <c r="AA56" i="1"/>
  <c r="Z56" i="1"/>
  <c r="Y56" i="1"/>
  <c r="X56" i="1"/>
  <c r="W56" i="1"/>
  <c r="V56" i="1"/>
  <c r="U56" i="1"/>
  <c r="T56" i="1"/>
  <c r="S56" i="1"/>
  <c r="AC56" i="1" s="1"/>
  <c r="AD56" i="1" s="1"/>
  <c r="R56" i="1"/>
  <c r="AD66" i="1" s="1"/>
  <c r="Q56" i="1"/>
  <c r="M56" i="1"/>
  <c r="N56" i="1" s="1"/>
  <c r="O56" i="1" s="1"/>
  <c r="O66" i="1" s="1"/>
  <c r="L56" i="1"/>
  <c r="K56" i="1"/>
  <c r="J56" i="1"/>
  <c r="I56" i="1"/>
  <c r="H56" i="1"/>
  <c r="G56" i="1"/>
  <c r="F56" i="1"/>
  <c r="E56" i="1"/>
  <c r="D56" i="1"/>
  <c r="C56" i="1"/>
  <c r="B56" i="1"/>
  <c r="AB55" i="1"/>
  <c r="AA55" i="1"/>
  <c r="Z55" i="1"/>
  <c r="AC55" i="1" s="1"/>
  <c r="AD55" i="1" s="1"/>
  <c r="Y55" i="1"/>
  <c r="X55" i="1"/>
  <c r="W55" i="1"/>
  <c r="V55" i="1"/>
  <c r="U55" i="1"/>
  <c r="T55" i="1"/>
  <c r="S55" i="1"/>
  <c r="R55" i="1"/>
  <c r="Q55" i="1"/>
  <c r="M55" i="1"/>
  <c r="L55" i="1"/>
  <c r="K55" i="1"/>
  <c r="J55" i="1"/>
  <c r="I55" i="1"/>
  <c r="N55" i="1" s="1"/>
  <c r="O55" i="1" s="1"/>
  <c r="H55" i="1"/>
  <c r="G55" i="1"/>
  <c r="F55" i="1"/>
  <c r="E55" i="1"/>
  <c r="D55" i="1"/>
  <c r="C55" i="1"/>
  <c r="O69" i="1" s="1" a="1"/>
  <c r="O69" i="1" s="1"/>
  <c r="B55" i="1"/>
  <c r="AD65" i="1" l="1"/>
  <c r="AD70" i="1"/>
  <c r="AD68" i="1" a="1"/>
  <c r="AD68" i="1" s="1"/>
  <c r="AD67" i="1"/>
  <c r="AD69" i="1" a="1"/>
  <c r="AD69" i="1" s="1"/>
  <c r="O65" i="1"/>
  <c r="O70" i="1"/>
  <c r="O67" i="1"/>
  <c r="O68" i="1" a="1"/>
  <c r="O68" i="1" s="1"/>
</calcChain>
</file>

<file path=xl/sharedStrings.xml><?xml version="1.0" encoding="utf-8"?>
<sst xmlns="http://schemas.openxmlformats.org/spreadsheetml/2006/main" count="449" uniqueCount="132">
  <si>
    <t>참여 응답결과 정리</t>
    <phoneticPr fontId="3" type="noConversion"/>
  </si>
  <si>
    <t>참여자ID</t>
  </si>
  <si>
    <t>구분</t>
  </si>
  <si>
    <t>연령대</t>
  </si>
  <si>
    <t>시나리오</t>
  </si>
  <si>
    <t>단계</t>
  </si>
  <si>
    <t>판매 
장비 설정</t>
    <phoneticPr fontId="3" type="noConversion"/>
  </si>
  <si>
    <t>판매 
시세 예측</t>
    <phoneticPr fontId="3" type="noConversion"/>
  </si>
  <si>
    <t>AI 등록</t>
  </si>
  <si>
    <t>구매 
장비 설정</t>
    <phoneticPr fontId="3" type="noConversion"/>
  </si>
  <si>
    <t>장비 
검색/조회</t>
    <phoneticPr fontId="3" type="noConversion"/>
  </si>
  <si>
    <t>유사 장비
추천 확인</t>
    <phoneticPr fontId="3" type="noConversion"/>
  </si>
  <si>
    <t>SEQ
장비 등록</t>
    <phoneticPr fontId="3" type="noConversion"/>
  </si>
  <si>
    <t>SEQ
장비 검색</t>
    <phoneticPr fontId="3" type="noConversion"/>
  </si>
  <si>
    <t>SEQ
시세 예측</t>
    <phoneticPr fontId="3" type="noConversion"/>
  </si>
  <si>
    <t>SEQ
추천 확인</t>
    <phoneticPr fontId="3" type="noConversion"/>
  </si>
  <si>
    <t>SUS_1</t>
  </si>
  <si>
    <t>SUS_2</t>
  </si>
  <si>
    <t>SUS_3</t>
  </si>
  <si>
    <t>SUS_4</t>
  </si>
  <si>
    <t>SUS_5</t>
  </si>
  <si>
    <t>SUS_6</t>
  </si>
  <si>
    <t>SUS_7</t>
  </si>
  <si>
    <t>SUS_8</t>
  </si>
  <si>
    <t>SUS_9</t>
  </si>
  <si>
    <t>SUS_10</t>
  </si>
  <si>
    <t>UEQ
효율성</t>
    <phoneticPr fontId="6" type="noConversion"/>
  </si>
  <si>
    <t>UEQ
명확성</t>
    <phoneticPr fontId="3" type="noConversion"/>
  </si>
  <si>
    <t>UEQ
시각매력</t>
    <phoneticPr fontId="3" type="noConversion"/>
  </si>
  <si>
    <t>UEQ
흥미로움</t>
    <phoneticPr fontId="3" type="noConversion"/>
  </si>
  <si>
    <t>UEQ
혁신성</t>
    <phoneticPr fontId="3" type="noConversion"/>
  </si>
  <si>
    <t>P01</t>
    <phoneticPr fontId="6" type="noConversion"/>
  </si>
  <si>
    <t>건설</t>
    <phoneticPr fontId="6" type="noConversion"/>
  </si>
  <si>
    <t>30대</t>
  </si>
  <si>
    <t>판매/구매</t>
  </si>
  <si>
    <t>수정 전</t>
  </si>
  <si>
    <t>예</t>
  </si>
  <si>
    <t>P02</t>
  </si>
  <si>
    <t>일반</t>
    <phoneticPr fontId="6" type="noConversion"/>
  </si>
  <si>
    <t>50대 이상</t>
  </si>
  <si>
    <t>P03</t>
    <phoneticPr fontId="6" type="noConversion"/>
  </si>
  <si>
    <t>40대</t>
  </si>
  <si>
    <t>P04</t>
  </si>
  <si>
    <t>일반</t>
    <phoneticPr fontId="6" type="noConversion"/>
  </si>
  <si>
    <t>20대</t>
  </si>
  <si>
    <t>P05</t>
  </si>
  <si>
    <t>건설</t>
    <phoneticPr fontId="6" type="noConversion"/>
  </si>
  <si>
    <t>P06</t>
  </si>
  <si>
    <t>일반</t>
    <phoneticPr fontId="6" type="noConversion"/>
  </si>
  <si>
    <t>P07</t>
  </si>
  <si>
    <t>예</t>
    <phoneticPr fontId="6" type="noConversion"/>
  </si>
  <si>
    <t>P08</t>
  </si>
  <si>
    <t>일반</t>
    <phoneticPr fontId="6" type="noConversion"/>
  </si>
  <si>
    <t>P09</t>
  </si>
  <si>
    <t>P10</t>
  </si>
  <si>
    <t>P01</t>
  </si>
  <si>
    <t>수정 후</t>
  </si>
  <si>
    <t>P03</t>
  </si>
  <si>
    <t>불편했던 점</t>
    <phoneticPr fontId="3" type="noConversion"/>
  </si>
  <si>
    <t>만족스러웠던 점</t>
    <phoneticPr fontId="3" type="noConversion"/>
  </si>
  <si>
    <t>개선이 필요한 점</t>
    <phoneticPr fontId="3" type="noConversion"/>
  </si>
  <si>
    <t>개선안</t>
    <phoneticPr fontId="3" type="noConversion"/>
  </si>
  <si>
    <t>P01</t>
    <phoneticPr fontId="6" type="noConversion"/>
  </si>
  <si>
    <t>없음</t>
    <phoneticPr fontId="3" type="noConversion"/>
  </si>
  <si>
    <t>시세예측</t>
  </si>
  <si>
    <t>전반적 UI</t>
  </si>
  <si>
    <t>UI 연구 설계 단계로 어쩔수 없음</t>
  </si>
  <si>
    <t>시세조회 입력 불편</t>
  </si>
  <si>
    <t>등록</t>
  </si>
  <si>
    <t>시세 예측 입력방식</t>
  </si>
  <si>
    <t>셀렉트 형태로 선택해서 입력될 수 있게 방식 변경</t>
  </si>
  <si>
    <t>P03</t>
    <phoneticPr fontId="6" type="noConversion"/>
  </si>
  <si>
    <t>상세페이지에서 추천매물이 어디 나오는지 잘 안보임</t>
  </si>
  <si>
    <t>상세페이지 추천매물 UI</t>
  </si>
  <si>
    <t>상세 페이지 하단에 '유사 장비 추천' 섹션 고정 배치</t>
  </si>
  <si>
    <t>마이페이지 거래내역 보기 불편</t>
  </si>
  <si>
    <t>추천</t>
  </si>
  <si>
    <t>마이페이지 거래내역</t>
  </si>
  <si>
    <t>마이페이지 내 거래 구분 탭 및 정렬 기능 추가</t>
  </si>
  <si>
    <t>이미지 업로드 후 피드백 부족</t>
  </si>
  <si>
    <t>AI 인식에 대한 정보 제공 요청</t>
  </si>
  <si>
    <t>AI 인식 확률 제공</t>
  </si>
  <si>
    <t>시세 예측 후 가비슷한 매물도 보여주면 좋겠어요</t>
  </si>
  <si>
    <t>없음</t>
  </si>
  <si>
    <t>시세 확인 매물과 유사한 실거래 매물을 제공하여 필요한 정보를 제공</t>
  </si>
  <si>
    <t>장비 등록시 입력란 너무 많음</t>
  </si>
  <si>
    <t>더 간편한 거래 등록</t>
  </si>
  <si>
    <t>현재로서는 이게 최선이고 지역 이나 거래가 많이 쌓인다면 거래 내용도 기존 거래 데이터 근거로 내용 추천 기능 검토</t>
  </si>
  <si>
    <t>개인과 매매상 매물 구분</t>
  </si>
  <si>
    <t>매물이 쌓인다면 개인매물과 브로커매물의 특징을 파악하여 이상거래 탐지</t>
  </si>
  <si>
    <t>시세예측 모델별 가격차이</t>
  </si>
  <si>
    <t>많은 거래 데이터를 확보하여 학습 하는 수밖에</t>
  </si>
  <si>
    <t>없음 또는 개선됨</t>
  </si>
  <si>
    <t>적용 완료</t>
  </si>
  <si>
    <t>해결 완료</t>
  </si>
  <si>
    <t>모델 인식이 잘 안될때가 있어요</t>
  </si>
  <si>
    <t>장비인식</t>
  </si>
  <si>
    <t>입력란 너무 많음</t>
  </si>
  <si>
    <t>매물구분</t>
  </si>
  <si>
    <t>*SUS 점수 환산 (수정전)</t>
    <phoneticPr fontId="6" type="noConversion"/>
  </si>
  <si>
    <t>*SUS 점수 환산 (수정후)</t>
    <phoneticPr fontId="6" type="noConversion"/>
  </si>
  <si>
    <t>참여자</t>
    <phoneticPr fontId="6" type="noConversion"/>
  </si>
  <si>
    <t>합계</t>
    <phoneticPr fontId="6" type="noConversion"/>
  </si>
  <si>
    <t>환산점수</t>
    <phoneticPr fontId="6" type="noConversion"/>
  </si>
  <si>
    <t>참여자</t>
    <phoneticPr fontId="6" type="noConversion"/>
  </si>
  <si>
    <t>합계</t>
    <phoneticPr fontId="6" type="noConversion"/>
  </si>
  <si>
    <t>환산점수</t>
    <phoneticPr fontId="6" type="noConversion"/>
  </si>
  <si>
    <t>평균</t>
    <phoneticPr fontId="6" type="noConversion"/>
  </si>
  <si>
    <t>건설</t>
    <phoneticPr fontId="6" type="noConversion"/>
  </si>
  <si>
    <t>일반</t>
    <phoneticPr fontId="6" type="noConversion"/>
  </si>
  <si>
    <t>*UEQ 항목별 평균 및 표준 편차</t>
    <phoneticPr fontId="6" type="noConversion"/>
  </si>
  <si>
    <t>*SEQ 항목별 평균 및 표준 편차</t>
    <phoneticPr fontId="6" type="noConversion"/>
  </si>
  <si>
    <t>전체</t>
    <phoneticPr fontId="6" type="noConversion"/>
  </si>
  <si>
    <t>*UEQ 항목별 평균 및 표준 편차</t>
    <phoneticPr fontId="6" type="noConversion"/>
  </si>
  <si>
    <t>전체</t>
    <phoneticPr fontId="6" type="noConversion"/>
  </si>
  <si>
    <t>항목</t>
    <phoneticPr fontId="6" type="noConversion"/>
  </si>
  <si>
    <t>평균점수</t>
    <phoneticPr fontId="6" type="noConversion"/>
  </si>
  <si>
    <t>표준편차</t>
    <phoneticPr fontId="6" type="noConversion"/>
  </si>
  <si>
    <t>평균점수</t>
    <phoneticPr fontId="6" type="noConversion"/>
  </si>
  <si>
    <t>효율성</t>
    <phoneticPr fontId="6" type="noConversion"/>
  </si>
  <si>
    <t>장비 등록</t>
    <phoneticPr fontId="6" type="noConversion"/>
  </si>
  <si>
    <t>명확성</t>
    <phoneticPr fontId="6" type="noConversion"/>
  </si>
  <si>
    <t>장비 검색/조회</t>
    <phoneticPr fontId="6" type="noConversion"/>
  </si>
  <si>
    <t>명확성</t>
    <phoneticPr fontId="6" type="noConversion"/>
  </si>
  <si>
    <t>시각적매력</t>
    <phoneticPr fontId="6" type="noConversion"/>
  </si>
  <si>
    <t>시세 예측</t>
    <phoneticPr fontId="6" type="noConversion"/>
  </si>
  <si>
    <t>흥미로움</t>
    <phoneticPr fontId="6" type="noConversion"/>
  </si>
  <si>
    <t>추천 확인</t>
    <phoneticPr fontId="6" type="noConversion"/>
  </si>
  <si>
    <t>혁신성</t>
    <phoneticPr fontId="6" type="noConversion"/>
  </si>
  <si>
    <t>참여자</t>
  </si>
  <si>
    <t>수정전</t>
    <phoneticPr fontId="6" type="noConversion"/>
  </si>
  <si>
    <t>수정후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</si>
</sst>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1" fillId="0" borderId="0" xfId="1"/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0" xfId="1" applyFill="1" applyAlignment="1">
      <alignment horizontal="center"/>
    </xf>
    <xf numFmtId="0" fontId="1" fillId="2" borderId="0" xfId="1" applyFill="1" applyAlignment="1">
      <alignment horizontal="center"/>
    </xf>
    <xf numFmtId="0" fontId="1" fillId="2" borderId="0" xfId="1" applyFill="1"/>
    <xf numFmtId="0" fontId="7" fillId="0" borderId="1" xfId="1" applyFont="1" applyBorder="1" applyAlignment="1">
      <alignment horizontal="center" vertical="top"/>
    </xf>
    <xf numFmtId="0" fontId="7" fillId="0" borderId="1" xfId="1" applyFont="1" applyBorder="1" applyAlignment="1">
      <alignment horizontal="center"/>
    </xf>
    <xf numFmtId="0" fontId="7" fillId="3" borderId="1" xfId="1" applyFont="1" applyFill="1" applyBorder="1" applyAlignment="1">
      <alignment horizontal="center"/>
    </xf>
    <xf numFmtId="0" fontId="7" fillId="4" borderId="1" xfId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3" borderId="1" xfId="1" applyFont="1" applyFill="1" applyBorder="1" applyAlignment="1">
      <alignment horizontal="left"/>
    </xf>
    <xf numFmtId="0" fontId="8" fillId="4" borderId="1" xfId="1" applyFont="1" applyFill="1" applyBorder="1" applyAlignment="1">
      <alignment horizontal="left"/>
    </xf>
    <xf numFmtId="0" fontId="8" fillId="2" borderId="1" xfId="1" applyFont="1" applyFill="1" applyBorder="1" applyAlignment="1">
      <alignment horizontal="center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/>
    </xf>
    <xf numFmtId="0" fontId="9" fillId="0" borderId="0" xfId="1" applyFont="1"/>
    <xf numFmtId="0" fontId="9" fillId="0" borderId="1" xfId="1" applyFont="1" applyBorder="1" applyAlignment="1">
      <alignment horizontal="center"/>
    </xf>
    <xf numFmtId="0" fontId="10" fillId="0" borderId="1" xfId="1" applyFont="1" applyBorder="1" applyAlignment="1">
      <alignment horizontal="center" vertical="top"/>
    </xf>
    <xf numFmtId="0" fontId="1" fillId="0" borderId="1" xfId="1" applyBorder="1" applyAlignment="1">
      <alignment horizontal="center"/>
    </xf>
    <xf numFmtId="176" fontId="1" fillId="0" borderId="1" xfId="1" applyNumberFormat="1" applyBorder="1"/>
    <xf numFmtId="0" fontId="1" fillId="0" borderId="1" xfId="1" applyBorder="1"/>
    <xf numFmtId="177" fontId="9" fillId="0" borderId="0" xfId="1" applyNumberFormat="1" applyFont="1"/>
    <xf numFmtId="0" fontId="1" fillId="5" borderId="0" xfId="1" applyFill="1"/>
    <xf numFmtId="177" fontId="9" fillId="5" borderId="0" xfId="1" applyNumberFormat="1" applyFont="1" applyFill="1"/>
    <xf numFmtId="0" fontId="9" fillId="5" borderId="1" xfId="1" applyFont="1" applyFill="1" applyBorder="1" applyAlignment="1">
      <alignment horizontal="center"/>
    </xf>
    <xf numFmtId="2" fontId="1" fillId="0" borderId="1" xfId="1" applyNumberFormat="1" applyBorder="1"/>
    <xf numFmtId="177" fontId="9" fillId="0" borderId="1" xfId="1" applyNumberFormat="1" applyFont="1" applyBorder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3000" baseline="0"/>
              <a:t>참여자별 </a:t>
            </a:r>
            <a:r>
              <a:rPr lang="en-US" sz="3000" baseline="0"/>
              <a:t>SUS </a:t>
            </a:r>
            <a:r>
              <a:rPr lang="ko-KR" sz="3000" baseline="0"/>
              <a:t>점수 비교 </a:t>
            </a:r>
            <a:r>
              <a:rPr lang="en-US" sz="3000" baseline="0"/>
              <a:t>(</a:t>
            </a:r>
            <a:r>
              <a:rPr lang="ko-KR" sz="3000" baseline="0"/>
              <a:t>수정 전</a:t>
            </a:r>
            <a:r>
              <a:rPr lang="en-US" sz="3000" baseline="0"/>
              <a:t>/</a:t>
            </a:r>
            <a:r>
              <a:rPr lang="ko-KR" sz="3000" baseline="0"/>
              <a:t>후</a:t>
            </a:r>
            <a:r>
              <a:rPr lang="en-US" sz="3000" baseline="0"/>
              <a:t>)</a:t>
            </a:r>
            <a:endParaRPr lang="ko-KR" sz="3000" baseline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2392256180648154E-2"/>
          <c:y val="0.12319834264454313"/>
          <c:w val="0.93721638068598911"/>
          <c:h val="0.799826768979222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설문조사정리!$C$78</c:f>
              <c:strCache>
                <c:ptCount val="1"/>
                <c:pt idx="0">
                  <c:v>수정전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설문조사정리!$B$79:$B$88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설문조사정리!$C$79:$C$88</c:f>
              <c:numCache>
                <c:formatCode>General</c:formatCode>
                <c:ptCount val="10"/>
                <c:pt idx="0">
                  <c:v>50</c:v>
                </c:pt>
                <c:pt idx="1">
                  <c:v>45</c:v>
                </c:pt>
                <c:pt idx="2">
                  <c:v>52.5</c:v>
                </c:pt>
                <c:pt idx="3">
                  <c:v>45</c:v>
                </c:pt>
                <c:pt idx="4">
                  <c:v>50</c:v>
                </c:pt>
                <c:pt idx="5">
                  <c:v>52.5</c:v>
                </c:pt>
                <c:pt idx="6">
                  <c:v>40</c:v>
                </c:pt>
                <c:pt idx="7">
                  <c:v>45</c:v>
                </c:pt>
                <c:pt idx="8">
                  <c:v>60</c:v>
                </c:pt>
                <c:pt idx="9">
                  <c:v>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C-431C-9B06-B04EA070E91C}"/>
            </c:ext>
          </c:extLst>
        </c:ser>
        <c:ser>
          <c:idx val="1"/>
          <c:order val="1"/>
          <c:tx>
            <c:strRef>
              <c:f>설문조사정리!$D$78</c:f>
              <c:strCache>
                <c:ptCount val="1"/>
                <c:pt idx="0">
                  <c:v>수정후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설문조사정리!$B$79:$B$88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설문조사정리!$D$79:$D$88</c:f>
              <c:numCache>
                <c:formatCode>General</c:formatCode>
                <c:ptCount val="10"/>
                <c:pt idx="0">
                  <c:v>55</c:v>
                </c:pt>
                <c:pt idx="1">
                  <c:v>52.5</c:v>
                </c:pt>
                <c:pt idx="2">
                  <c:v>52.5</c:v>
                </c:pt>
                <c:pt idx="3">
                  <c:v>47.5</c:v>
                </c:pt>
                <c:pt idx="4">
                  <c:v>57.5</c:v>
                </c:pt>
                <c:pt idx="5">
                  <c:v>55</c:v>
                </c:pt>
                <c:pt idx="6">
                  <c:v>42.5</c:v>
                </c:pt>
                <c:pt idx="7">
                  <c:v>45</c:v>
                </c:pt>
                <c:pt idx="8">
                  <c:v>62.5</c:v>
                </c:pt>
                <c:pt idx="9">
                  <c:v>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8C-431C-9B06-B04EA070E9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576077792"/>
        <c:axId val="576065312"/>
      </c:barChart>
      <c:catAx>
        <c:axId val="57607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6065312"/>
        <c:crosses val="autoZero"/>
        <c:auto val="1"/>
        <c:lblAlgn val="ctr"/>
        <c:lblOffset val="100"/>
        <c:noMultiLvlLbl val="0"/>
      </c:catAx>
      <c:valAx>
        <c:axId val="576065312"/>
        <c:scaling>
          <c:orientation val="minMax"/>
          <c:max val="1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607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341726</xdr:colOff>
      <xdr:row>73</xdr:row>
      <xdr:rowOff>72677</xdr:rowOff>
    </xdr:from>
    <xdr:to>
      <xdr:col>22</xdr:col>
      <xdr:colOff>492126</xdr:colOff>
      <xdr:row>94</xdr:row>
      <xdr:rowOff>79375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10/Desktop/&#45824;&#54364;&#45784;%20&#45436;&#47928;/&#45436;&#47928;%20&#45936;&#51060;&#53552;&#51088;&#47308;_25.8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인매물(그린중기)"/>
      <sheetName val="설문조사정리"/>
      <sheetName val="Sheet1"/>
      <sheetName val="사용성 설문지 양식"/>
      <sheetName val="설문원본"/>
      <sheetName val="2025_건설기계시가표준액"/>
      <sheetName val="거래데이터(기초자료)"/>
      <sheetName val="행동시나리오"/>
      <sheetName val="잔가율표"/>
      <sheetName val="참고문헌"/>
      <sheetName val="시스템성능체크"/>
    </sheetNames>
    <sheetDataSet>
      <sheetData sheetId="0"/>
      <sheetData sheetId="1">
        <row r="78">
          <cell r="C78" t="str">
            <v>수정전</v>
          </cell>
          <cell r="D78" t="str">
            <v>수정후</v>
          </cell>
        </row>
        <row r="79">
          <cell r="B79" t="str">
            <v>P01</v>
          </cell>
          <cell r="C79">
            <v>50</v>
          </cell>
          <cell r="D79">
            <v>55</v>
          </cell>
        </row>
        <row r="80">
          <cell r="B80" t="str">
            <v>P02</v>
          </cell>
          <cell r="C80">
            <v>45</v>
          </cell>
          <cell r="D80">
            <v>52.5</v>
          </cell>
        </row>
        <row r="81">
          <cell r="B81" t="str">
            <v>P03</v>
          </cell>
          <cell r="C81">
            <v>52.5</v>
          </cell>
          <cell r="D81">
            <v>52.5</v>
          </cell>
        </row>
        <row r="82">
          <cell r="B82" t="str">
            <v>P04</v>
          </cell>
          <cell r="C82">
            <v>45</v>
          </cell>
          <cell r="D82">
            <v>47.5</v>
          </cell>
        </row>
        <row r="83">
          <cell r="B83" t="str">
            <v>P05</v>
          </cell>
          <cell r="C83">
            <v>50</v>
          </cell>
          <cell r="D83">
            <v>57.5</v>
          </cell>
        </row>
        <row r="84">
          <cell r="B84" t="str">
            <v>P06</v>
          </cell>
          <cell r="C84">
            <v>52.5</v>
          </cell>
          <cell r="D84">
            <v>55</v>
          </cell>
        </row>
        <row r="85">
          <cell r="B85" t="str">
            <v>P07</v>
          </cell>
          <cell r="C85">
            <v>40</v>
          </cell>
          <cell r="D85">
            <v>42.5</v>
          </cell>
        </row>
        <row r="86">
          <cell r="B86" t="str">
            <v>P08</v>
          </cell>
          <cell r="C86">
            <v>45</v>
          </cell>
          <cell r="D86">
            <v>45</v>
          </cell>
        </row>
        <row r="87">
          <cell r="B87" t="str">
            <v>P09</v>
          </cell>
          <cell r="C87">
            <v>60</v>
          </cell>
          <cell r="D87">
            <v>62.5</v>
          </cell>
        </row>
        <row r="88">
          <cell r="B88" t="str">
            <v>P10</v>
          </cell>
          <cell r="C88">
            <v>57.5</v>
          </cell>
          <cell r="D88">
            <v>62.5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8"/>
  <sheetViews>
    <sheetView tabSelected="1" view="pageBreakPreview" zoomScale="70" zoomScaleNormal="55" zoomScaleSheetLayoutView="70" workbookViewId="0">
      <selection activeCell="R41" sqref="R41:AD41"/>
    </sheetView>
  </sheetViews>
  <sheetFormatPr defaultRowHeight="16.5" x14ac:dyDescent="0.3"/>
  <cols>
    <col min="1" max="16384" width="9" style="2"/>
  </cols>
  <sheetData>
    <row r="1" spans="1:30" ht="16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6" spans="1:30" ht="37.5" customHeight="1" x14ac:dyDescent="0.3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4" t="s">
        <v>6</v>
      </c>
      <c r="G6" s="4" t="s">
        <v>7</v>
      </c>
      <c r="H6" s="3" t="s">
        <v>8</v>
      </c>
      <c r="I6" s="4" t="s">
        <v>9</v>
      </c>
      <c r="J6" s="4" t="s">
        <v>10</v>
      </c>
      <c r="K6" s="4" t="s">
        <v>11</v>
      </c>
      <c r="L6" s="5" t="s">
        <v>12</v>
      </c>
      <c r="M6" s="5" t="s">
        <v>13</v>
      </c>
      <c r="N6" s="5" t="s">
        <v>14</v>
      </c>
      <c r="O6" s="5" t="s">
        <v>15</v>
      </c>
      <c r="P6" s="3" t="s">
        <v>16</v>
      </c>
      <c r="Q6" s="3" t="s">
        <v>17</v>
      </c>
      <c r="R6" s="3" t="s">
        <v>18</v>
      </c>
      <c r="S6" s="3" t="s">
        <v>19</v>
      </c>
      <c r="T6" s="3" t="s">
        <v>20</v>
      </c>
      <c r="U6" s="3" t="s">
        <v>21</v>
      </c>
      <c r="V6" s="3" t="s">
        <v>22</v>
      </c>
      <c r="W6" s="3" t="s">
        <v>23</v>
      </c>
      <c r="X6" s="3" t="s">
        <v>24</v>
      </c>
      <c r="Y6" s="3" t="s">
        <v>25</v>
      </c>
      <c r="Z6" s="4" t="s">
        <v>26</v>
      </c>
      <c r="AA6" s="4" t="s">
        <v>27</v>
      </c>
      <c r="AB6" s="4" t="s">
        <v>28</v>
      </c>
      <c r="AC6" s="4" t="s">
        <v>29</v>
      </c>
      <c r="AD6" s="4" t="s">
        <v>30</v>
      </c>
    </row>
    <row r="7" spans="1:30" x14ac:dyDescent="0.3">
      <c r="A7" s="6" t="s">
        <v>31</v>
      </c>
      <c r="B7" s="6" t="s">
        <v>32</v>
      </c>
      <c r="C7" s="6" t="s">
        <v>33</v>
      </c>
      <c r="D7" s="6" t="s">
        <v>34</v>
      </c>
      <c r="E7" s="6" t="s">
        <v>35</v>
      </c>
      <c r="F7" s="6" t="s">
        <v>36</v>
      </c>
      <c r="G7" s="6" t="s">
        <v>36</v>
      </c>
      <c r="H7" s="6" t="s">
        <v>36</v>
      </c>
      <c r="I7" s="6" t="s">
        <v>36</v>
      </c>
      <c r="J7" s="6" t="s">
        <v>36</v>
      </c>
      <c r="K7" s="6" t="s">
        <v>36</v>
      </c>
      <c r="L7" s="7">
        <v>5</v>
      </c>
      <c r="M7" s="7">
        <v>3</v>
      </c>
      <c r="N7" s="7">
        <v>4</v>
      </c>
      <c r="O7" s="7">
        <v>4</v>
      </c>
      <c r="P7" s="6">
        <v>4</v>
      </c>
      <c r="Q7" s="6">
        <v>2</v>
      </c>
      <c r="R7" s="6">
        <v>4</v>
      </c>
      <c r="S7" s="6">
        <v>4</v>
      </c>
      <c r="T7" s="6">
        <v>2</v>
      </c>
      <c r="U7" s="6">
        <v>3</v>
      </c>
      <c r="V7" s="6">
        <v>2</v>
      </c>
      <c r="W7" s="6">
        <v>4</v>
      </c>
      <c r="X7" s="6">
        <v>4</v>
      </c>
      <c r="Y7" s="6">
        <v>3</v>
      </c>
      <c r="Z7" s="6">
        <v>1</v>
      </c>
      <c r="AA7" s="6">
        <v>0</v>
      </c>
      <c r="AB7" s="6">
        <v>-1</v>
      </c>
      <c r="AC7" s="6">
        <v>0</v>
      </c>
      <c r="AD7" s="6">
        <v>1</v>
      </c>
    </row>
    <row r="8" spans="1:30" x14ac:dyDescent="0.3">
      <c r="A8" s="6" t="s">
        <v>37</v>
      </c>
      <c r="B8" s="6" t="s">
        <v>38</v>
      </c>
      <c r="C8" s="6" t="s">
        <v>39</v>
      </c>
      <c r="D8" s="6" t="s">
        <v>34</v>
      </c>
      <c r="E8" s="6" t="s">
        <v>35</v>
      </c>
      <c r="F8" s="6" t="s">
        <v>36</v>
      </c>
      <c r="G8" s="6" t="s">
        <v>36</v>
      </c>
      <c r="H8" s="6" t="s">
        <v>36</v>
      </c>
      <c r="I8" s="6" t="s">
        <v>36</v>
      </c>
      <c r="J8" s="6" t="s">
        <v>36</v>
      </c>
      <c r="K8" s="6" t="s">
        <v>36</v>
      </c>
      <c r="L8" s="7">
        <v>3</v>
      </c>
      <c r="M8" s="7">
        <v>3</v>
      </c>
      <c r="N8" s="7">
        <v>4</v>
      </c>
      <c r="O8" s="7">
        <v>4</v>
      </c>
      <c r="P8" s="6">
        <v>3</v>
      </c>
      <c r="Q8" s="6">
        <v>3</v>
      </c>
      <c r="R8" s="6">
        <v>4</v>
      </c>
      <c r="S8" s="6">
        <v>3</v>
      </c>
      <c r="T8" s="6">
        <v>2</v>
      </c>
      <c r="U8" s="6">
        <v>2</v>
      </c>
      <c r="V8" s="6">
        <v>2</v>
      </c>
      <c r="W8" s="6">
        <v>4</v>
      </c>
      <c r="X8" s="6">
        <v>3</v>
      </c>
      <c r="Y8" s="6">
        <v>4</v>
      </c>
      <c r="Z8" s="6">
        <v>1</v>
      </c>
      <c r="AA8" s="6">
        <v>-1</v>
      </c>
      <c r="AB8" s="6">
        <v>0</v>
      </c>
      <c r="AC8" s="6">
        <v>0</v>
      </c>
      <c r="AD8" s="6">
        <v>1</v>
      </c>
    </row>
    <row r="9" spans="1:30" x14ac:dyDescent="0.3">
      <c r="A9" s="6" t="s">
        <v>40</v>
      </c>
      <c r="B9" s="6" t="s">
        <v>32</v>
      </c>
      <c r="C9" s="6" t="s">
        <v>41</v>
      </c>
      <c r="D9" s="6" t="s">
        <v>34</v>
      </c>
      <c r="E9" s="6" t="s">
        <v>35</v>
      </c>
      <c r="F9" s="6" t="s">
        <v>36</v>
      </c>
      <c r="G9" s="6" t="s">
        <v>36</v>
      </c>
      <c r="H9" s="6" t="s">
        <v>36</v>
      </c>
      <c r="I9" s="6" t="s">
        <v>36</v>
      </c>
      <c r="J9" s="6" t="s">
        <v>36</v>
      </c>
      <c r="K9" s="6" t="s">
        <v>36</v>
      </c>
      <c r="L9" s="7">
        <v>4</v>
      </c>
      <c r="M9" s="7">
        <v>3</v>
      </c>
      <c r="N9" s="7">
        <v>4</v>
      </c>
      <c r="O9" s="7">
        <v>5</v>
      </c>
      <c r="P9" s="6">
        <v>3</v>
      </c>
      <c r="Q9" s="6">
        <v>4</v>
      </c>
      <c r="R9" s="6">
        <v>3</v>
      </c>
      <c r="S9" s="6">
        <v>2</v>
      </c>
      <c r="T9" s="6">
        <v>2</v>
      </c>
      <c r="U9" s="6">
        <v>2</v>
      </c>
      <c r="V9" s="6">
        <v>2</v>
      </c>
      <c r="W9" s="6">
        <v>2</v>
      </c>
      <c r="X9" s="6">
        <v>4</v>
      </c>
      <c r="Y9" s="6">
        <v>3</v>
      </c>
      <c r="Z9" s="6">
        <v>0</v>
      </c>
      <c r="AA9" s="6">
        <v>1</v>
      </c>
      <c r="AB9" s="6">
        <v>0</v>
      </c>
      <c r="AC9" s="6">
        <v>1</v>
      </c>
      <c r="AD9" s="6">
        <v>1</v>
      </c>
    </row>
    <row r="10" spans="1:30" x14ac:dyDescent="0.3">
      <c r="A10" s="6" t="s">
        <v>42</v>
      </c>
      <c r="B10" s="6" t="s">
        <v>43</v>
      </c>
      <c r="C10" s="6" t="s">
        <v>44</v>
      </c>
      <c r="D10" s="6" t="s">
        <v>34</v>
      </c>
      <c r="E10" s="6" t="s">
        <v>35</v>
      </c>
      <c r="F10" s="6" t="s">
        <v>36</v>
      </c>
      <c r="G10" s="6" t="s">
        <v>36</v>
      </c>
      <c r="H10" s="6" t="s">
        <v>36</v>
      </c>
      <c r="I10" s="6" t="s">
        <v>36</v>
      </c>
      <c r="J10" s="6" t="s">
        <v>36</v>
      </c>
      <c r="K10" s="6" t="s">
        <v>36</v>
      </c>
      <c r="L10" s="7">
        <v>3</v>
      </c>
      <c r="M10" s="7">
        <v>5</v>
      </c>
      <c r="N10" s="7">
        <v>3</v>
      </c>
      <c r="O10" s="7">
        <v>5</v>
      </c>
      <c r="P10" s="6">
        <v>2</v>
      </c>
      <c r="Q10" s="6">
        <v>2</v>
      </c>
      <c r="R10" s="6">
        <v>3</v>
      </c>
      <c r="S10" s="6">
        <v>2</v>
      </c>
      <c r="T10" s="6">
        <v>2</v>
      </c>
      <c r="U10" s="6">
        <v>4</v>
      </c>
      <c r="V10" s="6">
        <v>2</v>
      </c>
      <c r="W10" s="6">
        <v>3</v>
      </c>
      <c r="X10" s="6">
        <v>2</v>
      </c>
      <c r="Y10" s="6">
        <v>2</v>
      </c>
      <c r="Z10" s="6">
        <v>0</v>
      </c>
      <c r="AA10" s="6">
        <v>0</v>
      </c>
      <c r="AB10" s="6">
        <v>-1</v>
      </c>
      <c r="AC10" s="6">
        <v>0</v>
      </c>
      <c r="AD10" s="6">
        <v>3</v>
      </c>
    </row>
    <row r="11" spans="1:30" x14ac:dyDescent="0.3">
      <c r="A11" s="6" t="s">
        <v>45</v>
      </c>
      <c r="B11" s="6" t="s">
        <v>46</v>
      </c>
      <c r="C11" s="6" t="s">
        <v>44</v>
      </c>
      <c r="D11" s="6" t="s">
        <v>34</v>
      </c>
      <c r="E11" s="6" t="s">
        <v>35</v>
      </c>
      <c r="F11" s="6" t="s">
        <v>36</v>
      </c>
      <c r="G11" s="6" t="s">
        <v>36</v>
      </c>
      <c r="H11" s="6" t="s">
        <v>36</v>
      </c>
      <c r="I11" s="6" t="s">
        <v>36</v>
      </c>
      <c r="J11" s="6" t="s">
        <v>36</v>
      </c>
      <c r="K11" s="6" t="s">
        <v>36</v>
      </c>
      <c r="L11" s="7">
        <v>4</v>
      </c>
      <c r="M11" s="7">
        <v>4</v>
      </c>
      <c r="N11" s="7">
        <v>5</v>
      </c>
      <c r="O11" s="7">
        <v>3</v>
      </c>
      <c r="P11" s="6">
        <v>3</v>
      </c>
      <c r="Q11" s="6">
        <v>2</v>
      </c>
      <c r="R11" s="6">
        <v>4</v>
      </c>
      <c r="S11" s="6">
        <v>2</v>
      </c>
      <c r="T11" s="6">
        <v>2</v>
      </c>
      <c r="U11" s="6">
        <v>4</v>
      </c>
      <c r="V11" s="6">
        <v>3</v>
      </c>
      <c r="W11" s="6">
        <v>4</v>
      </c>
      <c r="X11" s="6">
        <v>2</v>
      </c>
      <c r="Y11" s="6">
        <v>2</v>
      </c>
      <c r="Z11" s="6">
        <v>0</v>
      </c>
      <c r="AA11" s="6">
        <v>-1</v>
      </c>
      <c r="AB11" s="6">
        <v>0</v>
      </c>
      <c r="AC11" s="6">
        <v>-1</v>
      </c>
      <c r="AD11" s="6">
        <v>1</v>
      </c>
    </row>
    <row r="12" spans="1:30" x14ac:dyDescent="0.3">
      <c r="A12" s="6" t="s">
        <v>47</v>
      </c>
      <c r="B12" s="6" t="s">
        <v>48</v>
      </c>
      <c r="C12" s="6" t="s">
        <v>44</v>
      </c>
      <c r="D12" s="6" t="s">
        <v>34</v>
      </c>
      <c r="E12" s="6" t="s">
        <v>35</v>
      </c>
      <c r="F12" s="6" t="s">
        <v>36</v>
      </c>
      <c r="G12" s="6" t="s">
        <v>36</v>
      </c>
      <c r="H12" s="6" t="s">
        <v>36</v>
      </c>
      <c r="I12" s="6" t="s">
        <v>36</v>
      </c>
      <c r="J12" s="6" t="s">
        <v>36</v>
      </c>
      <c r="K12" s="6" t="s">
        <v>36</v>
      </c>
      <c r="L12" s="7">
        <v>5</v>
      </c>
      <c r="M12" s="7">
        <v>5</v>
      </c>
      <c r="N12" s="7">
        <v>3</v>
      </c>
      <c r="O12" s="7">
        <v>3</v>
      </c>
      <c r="P12" s="6">
        <v>3</v>
      </c>
      <c r="Q12" s="6">
        <v>4</v>
      </c>
      <c r="R12" s="6">
        <v>2</v>
      </c>
      <c r="S12" s="6">
        <v>3</v>
      </c>
      <c r="T12" s="6">
        <v>4</v>
      </c>
      <c r="U12" s="6">
        <v>3</v>
      </c>
      <c r="V12" s="6">
        <v>4</v>
      </c>
      <c r="W12" s="6">
        <v>2</v>
      </c>
      <c r="X12" s="6">
        <v>3</v>
      </c>
      <c r="Y12" s="6">
        <v>3</v>
      </c>
      <c r="Z12" s="6">
        <v>-1</v>
      </c>
      <c r="AA12" s="6">
        <v>-1</v>
      </c>
      <c r="AB12" s="6">
        <v>-1</v>
      </c>
      <c r="AC12" s="6">
        <v>0</v>
      </c>
      <c r="AD12" s="6">
        <v>0</v>
      </c>
    </row>
    <row r="13" spans="1:30" x14ac:dyDescent="0.3">
      <c r="A13" s="6" t="s">
        <v>49</v>
      </c>
      <c r="B13" s="6" t="s">
        <v>46</v>
      </c>
      <c r="C13" s="6" t="s">
        <v>33</v>
      </c>
      <c r="D13" s="6" t="s">
        <v>34</v>
      </c>
      <c r="E13" s="6" t="s">
        <v>35</v>
      </c>
      <c r="F13" s="6" t="s">
        <v>36</v>
      </c>
      <c r="G13" s="6" t="s">
        <v>50</v>
      </c>
      <c r="H13" s="6" t="s">
        <v>36</v>
      </c>
      <c r="I13" s="6" t="s">
        <v>36</v>
      </c>
      <c r="J13" s="6" t="s">
        <v>36</v>
      </c>
      <c r="K13" s="6" t="s">
        <v>36</v>
      </c>
      <c r="L13" s="7">
        <v>5</v>
      </c>
      <c r="M13" s="7">
        <v>5</v>
      </c>
      <c r="N13" s="7">
        <v>5</v>
      </c>
      <c r="O13" s="7">
        <v>5</v>
      </c>
      <c r="P13" s="6">
        <v>2</v>
      </c>
      <c r="Q13" s="6">
        <v>4</v>
      </c>
      <c r="R13" s="6">
        <v>3</v>
      </c>
      <c r="S13" s="6">
        <v>3</v>
      </c>
      <c r="T13" s="6">
        <v>4</v>
      </c>
      <c r="U13" s="6">
        <v>2</v>
      </c>
      <c r="V13" s="6">
        <v>2</v>
      </c>
      <c r="W13" s="6">
        <v>4</v>
      </c>
      <c r="X13" s="6">
        <v>2</v>
      </c>
      <c r="Y13" s="6">
        <v>4</v>
      </c>
      <c r="Z13" s="6">
        <v>0</v>
      </c>
      <c r="AA13" s="6">
        <v>0</v>
      </c>
      <c r="AB13" s="6">
        <v>0</v>
      </c>
      <c r="AC13" s="6">
        <v>0</v>
      </c>
      <c r="AD13" s="6">
        <v>2</v>
      </c>
    </row>
    <row r="14" spans="1:30" x14ac:dyDescent="0.3">
      <c r="A14" s="6" t="s">
        <v>51</v>
      </c>
      <c r="B14" s="6" t="s">
        <v>52</v>
      </c>
      <c r="C14" s="6" t="s">
        <v>44</v>
      </c>
      <c r="D14" s="6" t="s">
        <v>34</v>
      </c>
      <c r="E14" s="6" t="s">
        <v>35</v>
      </c>
      <c r="F14" s="6" t="s">
        <v>36</v>
      </c>
      <c r="G14" s="6" t="s">
        <v>36</v>
      </c>
      <c r="H14" s="6" t="s">
        <v>36</v>
      </c>
      <c r="I14" s="6" t="s">
        <v>36</v>
      </c>
      <c r="J14" s="6" t="s">
        <v>36</v>
      </c>
      <c r="K14" s="6" t="s">
        <v>36</v>
      </c>
      <c r="L14" s="7">
        <v>5</v>
      </c>
      <c r="M14" s="7">
        <v>3</v>
      </c>
      <c r="N14" s="7">
        <v>5</v>
      </c>
      <c r="O14" s="7">
        <v>3</v>
      </c>
      <c r="P14" s="6">
        <v>4</v>
      </c>
      <c r="Q14" s="6">
        <v>3</v>
      </c>
      <c r="R14" s="6">
        <v>4</v>
      </c>
      <c r="S14" s="6">
        <v>2</v>
      </c>
      <c r="T14" s="6">
        <v>2</v>
      </c>
      <c r="U14" s="6">
        <v>4</v>
      </c>
      <c r="V14" s="6">
        <v>2</v>
      </c>
      <c r="W14" s="6">
        <v>4</v>
      </c>
      <c r="X14" s="6">
        <v>3</v>
      </c>
      <c r="Y14" s="6">
        <v>4</v>
      </c>
      <c r="Z14" s="6">
        <v>1</v>
      </c>
      <c r="AA14" s="6">
        <v>1</v>
      </c>
      <c r="AB14" s="6">
        <v>0</v>
      </c>
      <c r="AC14" s="6">
        <v>-1</v>
      </c>
      <c r="AD14" s="6">
        <v>1</v>
      </c>
    </row>
    <row r="15" spans="1:30" x14ac:dyDescent="0.3">
      <c r="A15" s="6" t="s">
        <v>53</v>
      </c>
      <c r="B15" s="6" t="s">
        <v>32</v>
      </c>
      <c r="C15" s="6" t="s">
        <v>33</v>
      </c>
      <c r="D15" s="6" t="s">
        <v>34</v>
      </c>
      <c r="E15" s="6" t="s">
        <v>35</v>
      </c>
      <c r="F15" s="6" t="s">
        <v>36</v>
      </c>
      <c r="G15" s="6" t="s">
        <v>36</v>
      </c>
      <c r="H15" s="6" t="s">
        <v>36</v>
      </c>
      <c r="I15" s="6" t="s">
        <v>36</v>
      </c>
      <c r="J15" s="6" t="s">
        <v>36</v>
      </c>
      <c r="K15" s="6" t="s">
        <v>36</v>
      </c>
      <c r="L15" s="7">
        <v>3</v>
      </c>
      <c r="M15" s="7">
        <v>5</v>
      </c>
      <c r="N15" s="7">
        <v>4</v>
      </c>
      <c r="O15" s="7">
        <v>3</v>
      </c>
      <c r="P15" s="6">
        <v>4</v>
      </c>
      <c r="Q15" s="6">
        <v>2</v>
      </c>
      <c r="R15" s="6">
        <v>4</v>
      </c>
      <c r="S15" s="6">
        <v>3</v>
      </c>
      <c r="T15" s="6">
        <v>2</v>
      </c>
      <c r="U15" s="6">
        <v>3</v>
      </c>
      <c r="V15" s="6">
        <v>3</v>
      </c>
      <c r="W15" s="6">
        <v>2</v>
      </c>
      <c r="X15" s="6">
        <v>3</v>
      </c>
      <c r="Y15" s="6">
        <v>2</v>
      </c>
      <c r="Z15" s="6">
        <v>1</v>
      </c>
      <c r="AA15" s="6">
        <v>0</v>
      </c>
      <c r="AB15" s="6">
        <v>0</v>
      </c>
      <c r="AC15" s="6">
        <v>0</v>
      </c>
      <c r="AD15" s="6">
        <v>-1</v>
      </c>
    </row>
    <row r="16" spans="1:30" x14ac:dyDescent="0.3">
      <c r="A16" s="6" t="s">
        <v>54</v>
      </c>
      <c r="B16" s="6" t="s">
        <v>48</v>
      </c>
      <c r="C16" s="6" t="s">
        <v>39</v>
      </c>
      <c r="D16" s="6" t="s">
        <v>34</v>
      </c>
      <c r="E16" s="6" t="s">
        <v>35</v>
      </c>
      <c r="F16" s="6" t="s">
        <v>36</v>
      </c>
      <c r="G16" s="6" t="s">
        <v>36</v>
      </c>
      <c r="H16" s="6" t="s">
        <v>36</v>
      </c>
      <c r="I16" s="6" t="s">
        <v>36</v>
      </c>
      <c r="J16" s="6" t="s">
        <v>36</v>
      </c>
      <c r="K16" s="6" t="s">
        <v>36</v>
      </c>
      <c r="L16" s="7">
        <v>5</v>
      </c>
      <c r="M16" s="7">
        <v>4</v>
      </c>
      <c r="N16" s="7">
        <v>3</v>
      </c>
      <c r="O16" s="7">
        <v>3</v>
      </c>
      <c r="P16" s="6">
        <v>3</v>
      </c>
      <c r="Q16" s="6">
        <v>3</v>
      </c>
      <c r="R16" s="6">
        <v>4</v>
      </c>
      <c r="S16" s="6">
        <v>2</v>
      </c>
      <c r="T16" s="6">
        <v>3</v>
      </c>
      <c r="U16" s="6">
        <v>2</v>
      </c>
      <c r="V16" s="6">
        <v>4</v>
      </c>
      <c r="W16" s="6">
        <v>4</v>
      </c>
      <c r="X16" s="6">
        <v>3</v>
      </c>
      <c r="Y16" s="6">
        <v>3</v>
      </c>
      <c r="Z16" s="6">
        <v>0</v>
      </c>
      <c r="AA16" s="6">
        <v>0</v>
      </c>
      <c r="AB16" s="6">
        <v>0</v>
      </c>
      <c r="AC16" s="6">
        <v>1</v>
      </c>
      <c r="AD16" s="6">
        <v>0</v>
      </c>
    </row>
    <row r="17" spans="1:30" s="9" customFormat="1" x14ac:dyDescent="0.3">
      <c r="A17" s="8" t="s">
        <v>55</v>
      </c>
      <c r="B17" s="8" t="s">
        <v>32</v>
      </c>
      <c r="C17" s="8" t="s">
        <v>33</v>
      </c>
      <c r="D17" s="8" t="s">
        <v>34</v>
      </c>
      <c r="E17" s="8" t="s">
        <v>56</v>
      </c>
      <c r="F17" s="8" t="s">
        <v>36</v>
      </c>
      <c r="G17" s="8" t="s">
        <v>36</v>
      </c>
      <c r="H17" s="8" t="s">
        <v>36</v>
      </c>
      <c r="I17" s="8" t="s">
        <v>36</v>
      </c>
      <c r="J17" s="8" t="s">
        <v>36</v>
      </c>
      <c r="K17" s="8" t="s">
        <v>36</v>
      </c>
      <c r="L17" s="8">
        <v>4</v>
      </c>
      <c r="M17" s="8">
        <v>4</v>
      </c>
      <c r="N17" s="8">
        <v>6</v>
      </c>
      <c r="O17" s="8">
        <v>4</v>
      </c>
      <c r="P17" s="8">
        <v>4</v>
      </c>
      <c r="Q17" s="8">
        <v>2</v>
      </c>
      <c r="R17" s="8">
        <v>4</v>
      </c>
      <c r="S17" s="8">
        <v>3</v>
      </c>
      <c r="T17" s="8">
        <v>3</v>
      </c>
      <c r="U17" s="8">
        <v>3</v>
      </c>
      <c r="V17" s="8">
        <v>2</v>
      </c>
      <c r="W17" s="8">
        <v>4</v>
      </c>
      <c r="X17" s="8">
        <v>4</v>
      </c>
      <c r="Y17" s="8">
        <v>3</v>
      </c>
      <c r="Z17" s="8">
        <v>1</v>
      </c>
      <c r="AA17" s="8">
        <v>0</v>
      </c>
      <c r="AB17" s="8">
        <v>-1</v>
      </c>
      <c r="AC17" s="8">
        <v>1</v>
      </c>
      <c r="AD17" s="8">
        <v>1</v>
      </c>
    </row>
    <row r="18" spans="1:30" x14ac:dyDescent="0.3">
      <c r="A18" s="6" t="s">
        <v>37</v>
      </c>
      <c r="B18" s="6" t="s">
        <v>48</v>
      </c>
      <c r="C18" s="6" t="s">
        <v>39</v>
      </c>
      <c r="D18" s="6" t="s">
        <v>34</v>
      </c>
      <c r="E18" s="6" t="s">
        <v>56</v>
      </c>
      <c r="F18" s="6" t="s">
        <v>36</v>
      </c>
      <c r="G18" s="6" t="s">
        <v>36</v>
      </c>
      <c r="H18" s="6" t="s">
        <v>36</v>
      </c>
      <c r="I18" s="6" t="s">
        <v>36</v>
      </c>
      <c r="J18" s="6" t="s">
        <v>36</v>
      </c>
      <c r="K18" s="6" t="s">
        <v>36</v>
      </c>
      <c r="L18" s="6">
        <v>4</v>
      </c>
      <c r="M18" s="6">
        <v>5</v>
      </c>
      <c r="N18" s="6">
        <v>5</v>
      </c>
      <c r="O18" s="6">
        <v>4</v>
      </c>
      <c r="P18" s="6">
        <v>4</v>
      </c>
      <c r="Q18" s="6">
        <v>3</v>
      </c>
      <c r="R18" s="6">
        <v>4</v>
      </c>
      <c r="S18" s="6">
        <v>3</v>
      </c>
      <c r="T18" s="6">
        <v>2</v>
      </c>
      <c r="U18" s="6">
        <v>2</v>
      </c>
      <c r="V18" s="6">
        <v>3</v>
      </c>
      <c r="W18" s="6">
        <v>3</v>
      </c>
      <c r="X18" s="6">
        <v>3</v>
      </c>
      <c r="Y18" s="6">
        <v>4</v>
      </c>
      <c r="Z18" s="6">
        <v>0</v>
      </c>
      <c r="AA18" s="6">
        <v>2</v>
      </c>
      <c r="AB18" s="6">
        <v>0</v>
      </c>
      <c r="AC18" s="6">
        <v>1</v>
      </c>
      <c r="AD18" s="6">
        <v>0</v>
      </c>
    </row>
    <row r="19" spans="1:30" x14ac:dyDescent="0.3">
      <c r="A19" s="6" t="s">
        <v>57</v>
      </c>
      <c r="B19" s="6" t="s">
        <v>32</v>
      </c>
      <c r="C19" s="6" t="s">
        <v>41</v>
      </c>
      <c r="D19" s="6" t="s">
        <v>34</v>
      </c>
      <c r="E19" s="6" t="s">
        <v>56</v>
      </c>
      <c r="F19" s="6" t="s">
        <v>36</v>
      </c>
      <c r="G19" s="6" t="s">
        <v>36</v>
      </c>
      <c r="H19" s="6" t="s">
        <v>36</v>
      </c>
      <c r="I19" s="6" t="s">
        <v>36</v>
      </c>
      <c r="J19" s="6" t="s">
        <v>36</v>
      </c>
      <c r="K19" s="6" t="s">
        <v>36</v>
      </c>
      <c r="L19" s="6">
        <v>6</v>
      </c>
      <c r="M19" s="6">
        <v>6</v>
      </c>
      <c r="N19" s="6">
        <v>6</v>
      </c>
      <c r="O19" s="6">
        <v>4</v>
      </c>
      <c r="P19" s="6">
        <v>3</v>
      </c>
      <c r="Q19" s="6">
        <v>3</v>
      </c>
      <c r="R19" s="6">
        <v>3</v>
      </c>
      <c r="S19" s="6">
        <v>2</v>
      </c>
      <c r="T19" s="6">
        <v>2</v>
      </c>
      <c r="U19" s="6">
        <v>3</v>
      </c>
      <c r="V19" s="6">
        <v>2</v>
      </c>
      <c r="W19" s="6">
        <v>2</v>
      </c>
      <c r="X19" s="6">
        <v>4</v>
      </c>
      <c r="Y19" s="6">
        <v>3</v>
      </c>
      <c r="Z19" s="6">
        <v>1</v>
      </c>
      <c r="AA19" s="6">
        <v>1</v>
      </c>
      <c r="AB19" s="6">
        <v>0</v>
      </c>
      <c r="AC19" s="6">
        <v>1</v>
      </c>
      <c r="AD19" s="6">
        <v>2</v>
      </c>
    </row>
    <row r="20" spans="1:30" x14ac:dyDescent="0.3">
      <c r="A20" s="6" t="s">
        <v>42</v>
      </c>
      <c r="B20" s="6" t="s">
        <v>48</v>
      </c>
      <c r="C20" s="6" t="s">
        <v>44</v>
      </c>
      <c r="D20" s="6" t="s">
        <v>34</v>
      </c>
      <c r="E20" s="6" t="s">
        <v>56</v>
      </c>
      <c r="F20" s="6" t="s">
        <v>36</v>
      </c>
      <c r="G20" s="6" t="s">
        <v>36</v>
      </c>
      <c r="H20" s="6" t="s">
        <v>36</v>
      </c>
      <c r="I20" s="6" t="s">
        <v>36</v>
      </c>
      <c r="J20" s="6" t="s">
        <v>36</v>
      </c>
      <c r="K20" s="6" t="s">
        <v>36</v>
      </c>
      <c r="L20" s="6">
        <v>5</v>
      </c>
      <c r="M20" s="6">
        <v>5</v>
      </c>
      <c r="N20" s="6">
        <v>4</v>
      </c>
      <c r="O20" s="6">
        <v>6</v>
      </c>
      <c r="P20" s="6">
        <v>2</v>
      </c>
      <c r="Q20" s="6">
        <v>2</v>
      </c>
      <c r="R20" s="6">
        <v>3</v>
      </c>
      <c r="S20" s="6">
        <v>2</v>
      </c>
      <c r="T20" s="6">
        <v>2</v>
      </c>
      <c r="U20" s="6">
        <v>4</v>
      </c>
      <c r="V20" s="6">
        <v>3</v>
      </c>
      <c r="W20" s="6">
        <v>3</v>
      </c>
      <c r="X20" s="6">
        <v>2</v>
      </c>
      <c r="Y20" s="6">
        <v>2</v>
      </c>
      <c r="Z20" s="6">
        <v>0</v>
      </c>
      <c r="AA20" s="6">
        <v>0</v>
      </c>
      <c r="AB20" s="6">
        <v>-1</v>
      </c>
      <c r="AC20" s="6">
        <v>1</v>
      </c>
      <c r="AD20" s="6">
        <v>3</v>
      </c>
    </row>
    <row r="21" spans="1:30" x14ac:dyDescent="0.3">
      <c r="A21" s="6" t="s">
        <v>45</v>
      </c>
      <c r="B21" s="6" t="s">
        <v>32</v>
      </c>
      <c r="C21" s="6" t="s">
        <v>44</v>
      </c>
      <c r="D21" s="6" t="s">
        <v>34</v>
      </c>
      <c r="E21" s="6" t="s">
        <v>56</v>
      </c>
      <c r="F21" s="6" t="s">
        <v>36</v>
      </c>
      <c r="G21" s="6" t="s">
        <v>36</v>
      </c>
      <c r="H21" s="6" t="s">
        <v>36</v>
      </c>
      <c r="I21" s="6" t="s">
        <v>36</v>
      </c>
      <c r="J21" s="6" t="s">
        <v>36</v>
      </c>
      <c r="K21" s="6" t="s">
        <v>36</v>
      </c>
      <c r="L21" s="6">
        <v>5</v>
      </c>
      <c r="M21" s="6">
        <v>4</v>
      </c>
      <c r="N21" s="6">
        <v>4</v>
      </c>
      <c r="O21" s="6">
        <v>4</v>
      </c>
      <c r="P21" s="6">
        <v>3</v>
      </c>
      <c r="Q21" s="6">
        <v>2</v>
      </c>
      <c r="R21" s="6">
        <v>4</v>
      </c>
      <c r="S21" s="6">
        <v>2</v>
      </c>
      <c r="T21" s="6">
        <v>2</v>
      </c>
      <c r="U21" s="6">
        <v>3</v>
      </c>
      <c r="V21" s="6">
        <v>3</v>
      </c>
      <c r="W21" s="6">
        <v>4</v>
      </c>
      <c r="X21" s="6">
        <v>4</v>
      </c>
      <c r="Y21" s="6">
        <v>2</v>
      </c>
      <c r="Z21" s="6">
        <v>1</v>
      </c>
      <c r="AA21" s="6">
        <v>1</v>
      </c>
      <c r="AB21" s="6">
        <v>0</v>
      </c>
      <c r="AC21" s="6">
        <v>0</v>
      </c>
      <c r="AD21" s="6">
        <v>1</v>
      </c>
    </row>
    <row r="22" spans="1:30" x14ac:dyDescent="0.3">
      <c r="A22" s="6" t="s">
        <v>47</v>
      </c>
      <c r="B22" s="6" t="s">
        <v>48</v>
      </c>
      <c r="C22" s="6" t="s">
        <v>44</v>
      </c>
      <c r="D22" s="6" t="s">
        <v>34</v>
      </c>
      <c r="E22" s="6" t="s">
        <v>56</v>
      </c>
      <c r="F22" s="6" t="s">
        <v>36</v>
      </c>
      <c r="G22" s="6" t="s">
        <v>36</v>
      </c>
      <c r="H22" s="6" t="s">
        <v>36</v>
      </c>
      <c r="I22" s="6" t="s">
        <v>36</v>
      </c>
      <c r="J22" s="6" t="s">
        <v>36</v>
      </c>
      <c r="K22" s="6" t="s">
        <v>36</v>
      </c>
      <c r="L22" s="6">
        <v>6</v>
      </c>
      <c r="M22" s="6">
        <v>6</v>
      </c>
      <c r="N22" s="6">
        <v>4</v>
      </c>
      <c r="O22" s="6">
        <v>6</v>
      </c>
      <c r="P22" s="6">
        <v>3</v>
      </c>
      <c r="Q22" s="6">
        <v>4</v>
      </c>
      <c r="R22" s="6">
        <v>3</v>
      </c>
      <c r="S22" s="6">
        <v>3</v>
      </c>
      <c r="T22" s="6">
        <v>4</v>
      </c>
      <c r="U22" s="6">
        <v>3</v>
      </c>
      <c r="V22" s="6">
        <v>4</v>
      </c>
      <c r="W22" s="6">
        <v>2</v>
      </c>
      <c r="X22" s="6">
        <v>3</v>
      </c>
      <c r="Y22" s="6">
        <v>3</v>
      </c>
      <c r="Z22" s="6">
        <v>0</v>
      </c>
      <c r="AA22" s="6">
        <v>1</v>
      </c>
      <c r="AB22" s="6">
        <v>-1</v>
      </c>
      <c r="AC22" s="6">
        <v>0</v>
      </c>
      <c r="AD22" s="6">
        <v>1</v>
      </c>
    </row>
    <row r="23" spans="1:30" x14ac:dyDescent="0.3">
      <c r="A23" s="6" t="s">
        <v>49</v>
      </c>
      <c r="B23" s="6" t="s">
        <v>32</v>
      </c>
      <c r="C23" s="6" t="s">
        <v>33</v>
      </c>
      <c r="D23" s="6" t="s">
        <v>34</v>
      </c>
      <c r="E23" s="6" t="s">
        <v>56</v>
      </c>
      <c r="F23" s="6" t="s">
        <v>36</v>
      </c>
      <c r="G23" s="6" t="s">
        <v>36</v>
      </c>
      <c r="H23" s="6" t="s">
        <v>36</v>
      </c>
      <c r="I23" s="6" t="s">
        <v>36</v>
      </c>
      <c r="J23" s="6" t="s">
        <v>36</v>
      </c>
      <c r="K23" s="6" t="s">
        <v>36</v>
      </c>
      <c r="L23" s="6">
        <v>5</v>
      </c>
      <c r="M23" s="6">
        <v>4</v>
      </c>
      <c r="N23" s="6">
        <v>5</v>
      </c>
      <c r="O23" s="6">
        <v>5</v>
      </c>
      <c r="P23" s="6">
        <v>2</v>
      </c>
      <c r="Q23" s="6">
        <v>3</v>
      </c>
      <c r="R23" s="6">
        <v>3</v>
      </c>
      <c r="S23" s="6">
        <v>3</v>
      </c>
      <c r="T23" s="6">
        <v>4</v>
      </c>
      <c r="U23" s="6">
        <v>2</v>
      </c>
      <c r="V23" s="6">
        <v>2</v>
      </c>
      <c r="W23" s="6">
        <v>4</v>
      </c>
      <c r="X23" s="6">
        <v>2</v>
      </c>
      <c r="Y23" s="6">
        <v>4</v>
      </c>
      <c r="Z23" s="6">
        <v>1</v>
      </c>
      <c r="AA23" s="6">
        <v>1</v>
      </c>
      <c r="AB23" s="6">
        <v>0</v>
      </c>
      <c r="AC23" s="6">
        <v>2</v>
      </c>
      <c r="AD23" s="6">
        <v>2</v>
      </c>
    </row>
    <row r="24" spans="1:30" x14ac:dyDescent="0.3">
      <c r="A24" s="6" t="s">
        <v>51</v>
      </c>
      <c r="B24" s="6" t="s">
        <v>48</v>
      </c>
      <c r="C24" s="6" t="s">
        <v>44</v>
      </c>
      <c r="D24" s="6" t="s">
        <v>34</v>
      </c>
      <c r="E24" s="6" t="s">
        <v>56</v>
      </c>
      <c r="F24" s="6" t="s">
        <v>36</v>
      </c>
      <c r="G24" s="6" t="s">
        <v>36</v>
      </c>
      <c r="H24" s="6" t="s">
        <v>36</v>
      </c>
      <c r="I24" s="6" t="s">
        <v>36</v>
      </c>
      <c r="J24" s="6" t="s">
        <v>36</v>
      </c>
      <c r="K24" s="6" t="s">
        <v>36</v>
      </c>
      <c r="L24" s="6">
        <v>6</v>
      </c>
      <c r="M24" s="6">
        <v>6</v>
      </c>
      <c r="N24" s="6">
        <v>5</v>
      </c>
      <c r="O24" s="6">
        <v>4</v>
      </c>
      <c r="P24" s="6">
        <v>4</v>
      </c>
      <c r="Q24" s="6">
        <v>3</v>
      </c>
      <c r="R24" s="6">
        <v>4</v>
      </c>
      <c r="S24" s="6">
        <v>2</v>
      </c>
      <c r="T24" s="6">
        <v>2</v>
      </c>
      <c r="U24" s="6">
        <v>4</v>
      </c>
      <c r="V24" s="6">
        <v>2</v>
      </c>
      <c r="W24" s="6">
        <v>4</v>
      </c>
      <c r="X24" s="6">
        <v>3</v>
      </c>
      <c r="Y24" s="6">
        <v>4</v>
      </c>
      <c r="Z24" s="6">
        <v>0</v>
      </c>
      <c r="AA24" s="6">
        <v>0</v>
      </c>
      <c r="AB24" s="6">
        <v>0</v>
      </c>
      <c r="AC24" s="6">
        <v>1</v>
      </c>
      <c r="AD24" s="6">
        <v>1</v>
      </c>
    </row>
    <row r="25" spans="1:30" x14ac:dyDescent="0.3">
      <c r="A25" s="6" t="s">
        <v>53</v>
      </c>
      <c r="B25" s="6" t="s">
        <v>32</v>
      </c>
      <c r="C25" s="6" t="s">
        <v>33</v>
      </c>
      <c r="D25" s="6" t="s">
        <v>34</v>
      </c>
      <c r="E25" s="6" t="s">
        <v>56</v>
      </c>
      <c r="F25" s="6" t="s">
        <v>36</v>
      </c>
      <c r="G25" s="6" t="s">
        <v>36</v>
      </c>
      <c r="H25" s="6" t="s">
        <v>36</v>
      </c>
      <c r="I25" s="6" t="s">
        <v>36</v>
      </c>
      <c r="J25" s="6" t="s">
        <v>36</v>
      </c>
      <c r="K25" s="6" t="s">
        <v>36</v>
      </c>
      <c r="L25" s="6">
        <v>4</v>
      </c>
      <c r="M25" s="6">
        <v>6</v>
      </c>
      <c r="N25" s="6">
        <v>5</v>
      </c>
      <c r="O25" s="6">
        <v>6</v>
      </c>
      <c r="P25" s="6">
        <v>4</v>
      </c>
      <c r="Q25" s="6">
        <v>2</v>
      </c>
      <c r="R25" s="6">
        <v>4</v>
      </c>
      <c r="S25" s="6">
        <v>2</v>
      </c>
      <c r="T25" s="6">
        <v>2</v>
      </c>
      <c r="U25" s="6">
        <v>3</v>
      </c>
      <c r="V25" s="6">
        <v>3</v>
      </c>
      <c r="W25" s="6">
        <v>2</v>
      </c>
      <c r="X25" s="6">
        <v>3</v>
      </c>
      <c r="Y25" s="6">
        <v>2</v>
      </c>
      <c r="Z25" s="6">
        <v>1</v>
      </c>
      <c r="AA25" s="6">
        <v>1</v>
      </c>
      <c r="AB25" s="6">
        <v>0</v>
      </c>
      <c r="AC25" s="6">
        <v>1</v>
      </c>
      <c r="AD25" s="6">
        <v>2</v>
      </c>
    </row>
    <row r="26" spans="1:30" x14ac:dyDescent="0.3">
      <c r="A26" s="6" t="s">
        <v>54</v>
      </c>
      <c r="B26" s="6" t="s">
        <v>38</v>
      </c>
      <c r="C26" s="6" t="s">
        <v>39</v>
      </c>
      <c r="D26" s="6" t="s">
        <v>34</v>
      </c>
      <c r="E26" s="6" t="s">
        <v>56</v>
      </c>
      <c r="F26" s="6" t="s">
        <v>36</v>
      </c>
      <c r="G26" s="6" t="s">
        <v>36</v>
      </c>
      <c r="H26" s="6" t="s">
        <v>36</v>
      </c>
      <c r="I26" s="6" t="s">
        <v>36</v>
      </c>
      <c r="J26" s="6" t="s">
        <v>36</v>
      </c>
      <c r="K26" s="6" t="s">
        <v>36</v>
      </c>
      <c r="L26" s="6">
        <v>5</v>
      </c>
      <c r="M26" s="6">
        <v>6</v>
      </c>
      <c r="N26" s="6">
        <v>5</v>
      </c>
      <c r="O26" s="6">
        <v>4</v>
      </c>
      <c r="P26" s="6">
        <v>3</v>
      </c>
      <c r="Q26" s="6">
        <v>2</v>
      </c>
      <c r="R26" s="6">
        <v>4</v>
      </c>
      <c r="S26" s="6">
        <v>2</v>
      </c>
      <c r="T26" s="6">
        <v>3</v>
      </c>
      <c r="U26" s="6">
        <v>2</v>
      </c>
      <c r="V26" s="6">
        <v>4</v>
      </c>
      <c r="W26" s="6">
        <v>3</v>
      </c>
      <c r="X26" s="6">
        <v>3</v>
      </c>
      <c r="Y26" s="6">
        <v>3</v>
      </c>
      <c r="Z26" s="6">
        <v>2</v>
      </c>
      <c r="AA26" s="6">
        <v>0</v>
      </c>
      <c r="AB26" s="6">
        <v>0</v>
      </c>
      <c r="AC26" s="6">
        <v>1</v>
      </c>
      <c r="AD26" s="6">
        <v>0</v>
      </c>
    </row>
    <row r="27" spans="1:30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ht="17.25" x14ac:dyDescent="0.3">
      <c r="A28" s="10" t="s">
        <v>1</v>
      </c>
      <c r="B28" s="11" t="s">
        <v>58</v>
      </c>
      <c r="C28" s="11"/>
      <c r="D28" s="11"/>
      <c r="E28" s="11"/>
      <c r="F28" s="11"/>
      <c r="G28" s="11"/>
      <c r="H28" s="11"/>
      <c r="I28" s="11" t="s">
        <v>59</v>
      </c>
      <c r="J28" s="11"/>
      <c r="K28" s="11"/>
      <c r="L28" s="12" t="s">
        <v>60</v>
      </c>
      <c r="M28" s="12"/>
      <c r="N28" s="12"/>
      <c r="O28" s="12"/>
      <c r="P28" s="12"/>
      <c r="Q28" s="12"/>
      <c r="R28" s="13" t="s">
        <v>61</v>
      </c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spans="1:30" ht="17.25" x14ac:dyDescent="0.3">
      <c r="A29" s="14" t="s">
        <v>62</v>
      </c>
      <c r="B29" s="15" t="s">
        <v>63</v>
      </c>
      <c r="C29" s="15"/>
      <c r="D29" s="15"/>
      <c r="E29" s="15"/>
      <c r="F29" s="15"/>
      <c r="G29" s="15"/>
      <c r="H29" s="15"/>
      <c r="I29" s="15" t="s">
        <v>64</v>
      </c>
      <c r="J29" s="15"/>
      <c r="K29" s="15"/>
      <c r="L29" s="16" t="s">
        <v>65</v>
      </c>
      <c r="M29" s="16"/>
      <c r="N29" s="16"/>
      <c r="O29" s="16"/>
      <c r="P29" s="16"/>
      <c r="Q29" s="16"/>
      <c r="R29" s="17" t="s">
        <v>66</v>
      </c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30" ht="17.25" x14ac:dyDescent="0.3">
      <c r="A30" s="14" t="s">
        <v>37</v>
      </c>
      <c r="B30" s="15" t="s">
        <v>67</v>
      </c>
      <c r="C30" s="15"/>
      <c r="D30" s="15"/>
      <c r="E30" s="15"/>
      <c r="F30" s="15"/>
      <c r="G30" s="15"/>
      <c r="H30" s="15"/>
      <c r="I30" s="15" t="s">
        <v>68</v>
      </c>
      <c r="J30" s="15"/>
      <c r="K30" s="15"/>
      <c r="L30" s="16" t="s">
        <v>69</v>
      </c>
      <c r="M30" s="16"/>
      <c r="N30" s="16"/>
      <c r="O30" s="16"/>
      <c r="P30" s="16"/>
      <c r="Q30" s="16"/>
      <c r="R30" s="17" t="s">
        <v>70</v>
      </c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spans="1:30" ht="17.25" x14ac:dyDescent="0.3">
      <c r="A31" s="14" t="s">
        <v>71</v>
      </c>
      <c r="B31" s="15" t="s">
        <v>72</v>
      </c>
      <c r="C31" s="15"/>
      <c r="D31" s="15"/>
      <c r="E31" s="15"/>
      <c r="F31" s="15"/>
      <c r="G31" s="15"/>
      <c r="H31" s="15"/>
      <c r="I31" s="15" t="s">
        <v>68</v>
      </c>
      <c r="J31" s="15"/>
      <c r="K31" s="15"/>
      <c r="L31" s="16" t="s">
        <v>73</v>
      </c>
      <c r="M31" s="16"/>
      <c r="N31" s="16"/>
      <c r="O31" s="16"/>
      <c r="P31" s="16"/>
      <c r="Q31" s="16"/>
      <c r="R31" s="17" t="s">
        <v>74</v>
      </c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 spans="1:30" ht="17.25" x14ac:dyDescent="0.3">
      <c r="A32" s="14" t="s">
        <v>42</v>
      </c>
      <c r="B32" s="15" t="s">
        <v>75</v>
      </c>
      <c r="C32" s="15"/>
      <c r="D32" s="15"/>
      <c r="E32" s="15"/>
      <c r="F32" s="15"/>
      <c r="G32" s="15"/>
      <c r="H32" s="15"/>
      <c r="I32" s="15" t="s">
        <v>76</v>
      </c>
      <c r="J32" s="15"/>
      <c r="K32" s="15"/>
      <c r="L32" s="16" t="s">
        <v>77</v>
      </c>
      <c r="M32" s="16"/>
      <c r="N32" s="16"/>
      <c r="O32" s="16"/>
      <c r="P32" s="16"/>
      <c r="Q32" s="16"/>
      <c r="R32" s="17" t="s">
        <v>78</v>
      </c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spans="1:30" ht="17.25" x14ac:dyDescent="0.3">
      <c r="A33" s="14" t="s">
        <v>45</v>
      </c>
      <c r="B33" s="15" t="s">
        <v>79</v>
      </c>
      <c r="C33" s="15"/>
      <c r="D33" s="15"/>
      <c r="E33" s="15"/>
      <c r="F33" s="15"/>
      <c r="G33" s="15"/>
      <c r="H33" s="15"/>
      <c r="I33" s="15" t="s">
        <v>64</v>
      </c>
      <c r="J33" s="15"/>
      <c r="K33" s="15"/>
      <c r="L33" s="16" t="s">
        <v>80</v>
      </c>
      <c r="M33" s="16"/>
      <c r="N33" s="16"/>
      <c r="O33" s="16"/>
      <c r="P33" s="16"/>
      <c r="Q33" s="16"/>
      <c r="R33" s="17" t="s">
        <v>81</v>
      </c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 spans="1:30" ht="17.25" x14ac:dyDescent="0.3">
      <c r="A34" s="14" t="s">
        <v>47</v>
      </c>
      <c r="B34" s="15" t="s">
        <v>82</v>
      </c>
      <c r="C34" s="15"/>
      <c r="D34" s="15"/>
      <c r="E34" s="15"/>
      <c r="F34" s="15"/>
      <c r="G34" s="15"/>
      <c r="H34" s="15"/>
      <c r="I34" s="15" t="s">
        <v>68</v>
      </c>
      <c r="J34" s="15"/>
      <c r="K34" s="15"/>
      <c r="L34" s="16" t="s">
        <v>83</v>
      </c>
      <c r="M34" s="16"/>
      <c r="N34" s="16"/>
      <c r="O34" s="16"/>
      <c r="P34" s="16"/>
      <c r="Q34" s="16"/>
      <c r="R34" s="17" t="s">
        <v>84</v>
      </c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 spans="1:30" ht="17.25" x14ac:dyDescent="0.3">
      <c r="A35" s="14" t="s">
        <v>49</v>
      </c>
      <c r="B35" s="15" t="s">
        <v>83</v>
      </c>
      <c r="C35" s="15"/>
      <c r="D35" s="15"/>
      <c r="E35" s="15"/>
      <c r="F35" s="15"/>
      <c r="G35" s="15"/>
      <c r="H35" s="15"/>
      <c r="I35" s="15" t="s">
        <v>64</v>
      </c>
      <c r="J35" s="15"/>
      <c r="K35" s="15"/>
      <c r="L35" s="16" t="s">
        <v>65</v>
      </c>
      <c r="M35" s="16"/>
      <c r="N35" s="16"/>
      <c r="O35" s="16"/>
      <c r="P35" s="16"/>
      <c r="Q35" s="16"/>
      <c r="R35" s="17" t="s">
        <v>66</v>
      </c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spans="1:30" ht="17.25" x14ac:dyDescent="0.3">
      <c r="A36" s="14" t="s">
        <v>51</v>
      </c>
      <c r="B36" s="15" t="s">
        <v>85</v>
      </c>
      <c r="C36" s="15"/>
      <c r="D36" s="15"/>
      <c r="E36" s="15"/>
      <c r="F36" s="15"/>
      <c r="G36" s="15"/>
      <c r="H36" s="15"/>
      <c r="I36" s="15" t="s">
        <v>68</v>
      </c>
      <c r="J36" s="15"/>
      <c r="K36" s="15"/>
      <c r="L36" s="16" t="s">
        <v>86</v>
      </c>
      <c r="M36" s="16"/>
      <c r="N36" s="16"/>
      <c r="O36" s="16"/>
      <c r="P36" s="16"/>
      <c r="Q36" s="16"/>
      <c r="R36" s="17" t="s">
        <v>87</v>
      </c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spans="1:30" ht="17.25" x14ac:dyDescent="0.3">
      <c r="A37" s="14" t="s">
        <v>53</v>
      </c>
      <c r="B37" s="15" t="s">
        <v>83</v>
      </c>
      <c r="C37" s="15"/>
      <c r="D37" s="15"/>
      <c r="E37" s="15"/>
      <c r="F37" s="15"/>
      <c r="G37" s="15"/>
      <c r="H37" s="15"/>
      <c r="I37" s="15" t="s">
        <v>64</v>
      </c>
      <c r="J37" s="15"/>
      <c r="K37" s="15"/>
      <c r="L37" s="16" t="s">
        <v>88</v>
      </c>
      <c r="M37" s="16"/>
      <c r="N37" s="16"/>
      <c r="O37" s="16"/>
      <c r="P37" s="16"/>
      <c r="Q37" s="16"/>
      <c r="R37" s="17" t="s">
        <v>89</v>
      </c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spans="1:30" ht="17.25" x14ac:dyDescent="0.3">
      <c r="A38" s="14" t="s">
        <v>54</v>
      </c>
      <c r="B38" s="15" t="s">
        <v>83</v>
      </c>
      <c r="C38" s="15"/>
      <c r="D38" s="15"/>
      <c r="E38" s="15"/>
      <c r="F38" s="15"/>
      <c r="G38" s="15"/>
      <c r="H38" s="15"/>
      <c r="I38" s="15" t="s">
        <v>68</v>
      </c>
      <c r="J38" s="15"/>
      <c r="K38" s="15"/>
      <c r="L38" s="16" t="s">
        <v>90</v>
      </c>
      <c r="M38" s="16"/>
      <c r="N38" s="16"/>
      <c r="O38" s="16"/>
      <c r="P38" s="16"/>
      <c r="Q38" s="16"/>
      <c r="R38" s="17" t="s">
        <v>91</v>
      </c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spans="1:30" ht="17.25" x14ac:dyDescent="0.3">
      <c r="A39" s="18" t="s">
        <v>55</v>
      </c>
      <c r="B39" s="15" t="s">
        <v>92</v>
      </c>
      <c r="C39" s="15"/>
      <c r="D39" s="15"/>
      <c r="E39" s="15"/>
      <c r="F39" s="15"/>
      <c r="G39" s="15"/>
      <c r="H39" s="15"/>
      <c r="I39" s="15" t="s">
        <v>64</v>
      </c>
      <c r="J39" s="15"/>
      <c r="K39" s="15"/>
      <c r="L39" s="16" t="s">
        <v>65</v>
      </c>
      <c r="M39" s="16"/>
      <c r="N39" s="16"/>
      <c r="O39" s="16"/>
      <c r="P39" s="16"/>
      <c r="Q39" s="16"/>
      <c r="R39" s="17" t="s">
        <v>93</v>
      </c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spans="1:30" ht="17.25" x14ac:dyDescent="0.3">
      <c r="A40" s="14" t="s">
        <v>37</v>
      </c>
      <c r="B40" s="15" t="s">
        <v>83</v>
      </c>
      <c r="C40" s="15"/>
      <c r="D40" s="15"/>
      <c r="E40" s="15"/>
      <c r="F40" s="15"/>
      <c r="G40" s="15"/>
      <c r="H40" s="15"/>
      <c r="I40" s="15" t="s">
        <v>68</v>
      </c>
      <c r="J40" s="15"/>
      <c r="K40" s="15"/>
      <c r="L40" s="16" t="s">
        <v>83</v>
      </c>
      <c r="M40" s="16"/>
      <c r="N40" s="16"/>
      <c r="O40" s="16"/>
      <c r="P40" s="16"/>
      <c r="Q40" s="16"/>
      <c r="R40" s="17" t="s">
        <v>93</v>
      </c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spans="1:30" ht="17.25" x14ac:dyDescent="0.3">
      <c r="A41" s="14" t="s">
        <v>57</v>
      </c>
      <c r="B41" s="15" t="s">
        <v>83</v>
      </c>
      <c r="C41" s="15"/>
      <c r="D41" s="15"/>
      <c r="E41" s="15"/>
      <c r="F41" s="15"/>
      <c r="G41" s="15"/>
      <c r="H41" s="15"/>
      <c r="I41" s="15" t="s">
        <v>68</v>
      </c>
      <c r="J41" s="15"/>
      <c r="K41" s="15"/>
      <c r="L41" s="16" t="s">
        <v>65</v>
      </c>
      <c r="M41" s="16"/>
      <c r="N41" s="16"/>
      <c r="O41" s="16"/>
      <c r="P41" s="16"/>
      <c r="Q41" s="16"/>
      <c r="R41" s="17" t="s">
        <v>93</v>
      </c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spans="1:30" ht="17.25" x14ac:dyDescent="0.3">
      <c r="A42" s="14" t="s">
        <v>42</v>
      </c>
      <c r="B42" s="15" t="s">
        <v>94</v>
      </c>
      <c r="C42" s="15"/>
      <c r="D42" s="15"/>
      <c r="E42" s="15"/>
      <c r="F42" s="15"/>
      <c r="G42" s="15"/>
      <c r="H42" s="15"/>
      <c r="I42" s="15" t="s">
        <v>76</v>
      </c>
      <c r="J42" s="15"/>
      <c r="K42" s="15"/>
      <c r="L42" s="16" t="s">
        <v>94</v>
      </c>
      <c r="M42" s="16"/>
      <c r="N42" s="16"/>
      <c r="O42" s="16"/>
      <c r="P42" s="16"/>
      <c r="Q42" s="16"/>
      <c r="R42" s="17" t="s">
        <v>93</v>
      </c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spans="1:30" ht="17.25" x14ac:dyDescent="0.3">
      <c r="A43" s="14" t="s">
        <v>45</v>
      </c>
      <c r="B43" s="15" t="s">
        <v>95</v>
      </c>
      <c r="C43" s="15"/>
      <c r="D43" s="15"/>
      <c r="E43" s="15"/>
      <c r="F43" s="15"/>
      <c r="G43" s="15"/>
      <c r="H43" s="15"/>
      <c r="I43" s="15" t="s">
        <v>64</v>
      </c>
      <c r="J43" s="15"/>
      <c r="K43" s="15"/>
      <c r="L43" s="16" t="s">
        <v>83</v>
      </c>
      <c r="M43" s="16"/>
      <c r="N43" s="16"/>
      <c r="O43" s="16"/>
      <c r="P43" s="16"/>
      <c r="Q43" s="16"/>
      <c r="R43" s="17" t="s">
        <v>93</v>
      </c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spans="1:30" ht="17.25" x14ac:dyDescent="0.3">
      <c r="A44" s="14" t="s">
        <v>47</v>
      </c>
      <c r="B44" s="15" t="s">
        <v>83</v>
      </c>
      <c r="C44" s="15"/>
      <c r="D44" s="15"/>
      <c r="E44" s="15"/>
      <c r="F44" s="15"/>
      <c r="G44" s="15"/>
      <c r="H44" s="15"/>
      <c r="I44" s="15" t="s">
        <v>96</v>
      </c>
      <c r="J44" s="15"/>
      <c r="K44" s="15"/>
      <c r="L44" s="16" t="s">
        <v>83</v>
      </c>
      <c r="M44" s="16"/>
      <c r="N44" s="16"/>
      <c r="O44" s="16"/>
      <c r="P44" s="16"/>
      <c r="Q44" s="16"/>
      <c r="R44" s="17" t="s">
        <v>93</v>
      </c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spans="1:30" ht="17.25" x14ac:dyDescent="0.3">
      <c r="A45" s="14" t="s">
        <v>49</v>
      </c>
      <c r="B45" s="15" t="s">
        <v>83</v>
      </c>
      <c r="C45" s="15"/>
      <c r="D45" s="15"/>
      <c r="E45" s="15"/>
      <c r="F45" s="15"/>
      <c r="G45" s="15"/>
      <c r="H45" s="15"/>
      <c r="I45" s="15" t="s">
        <v>64</v>
      </c>
      <c r="J45" s="15"/>
      <c r="K45" s="15"/>
      <c r="L45" s="16" t="s">
        <v>65</v>
      </c>
      <c r="M45" s="16"/>
      <c r="N45" s="16"/>
      <c r="O45" s="16"/>
      <c r="P45" s="16"/>
      <c r="Q45" s="16"/>
      <c r="R45" s="17" t="s">
        <v>93</v>
      </c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spans="1:30" ht="17.25" x14ac:dyDescent="0.3">
      <c r="A46" s="14" t="s">
        <v>51</v>
      </c>
      <c r="B46" s="15" t="s">
        <v>97</v>
      </c>
      <c r="C46" s="15"/>
      <c r="D46" s="15"/>
      <c r="E46" s="15"/>
      <c r="F46" s="15"/>
      <c r="G46" s="15"/>
      <c r="H46" s="15"/>
      <c r="I46" s="15" t="s">
        <v>68</v>
      </c>
      <c r="J46" s="15"/>
      <c r="K46" s="15"/>
      <c r="L46" s="16" t="s">
        <v>86</v>
      </c>
      <c r="M46" s="16"/>
      <c r="N46" s="16"/>
      <c r="O46" s="16"/>
      <c r="P46" s="16"/>
      <c r="Q46" s="16"/>
      <c r="R46" s="17" t="s">
        <v>87</v>
      </c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 spans="1:30" ht="17.25" x14ac:dyDescent="0.3">
      <c r="A47" s="14" t="s">
        <v>53</v>
      </c>
      <c r="B47" s="15" t="s">
        <v>83</v>
      </c>
      <c r="C47" s="15"/>
      <c r="D47" s="15"/>
      <c r="E47" s="15"/>
      <c r="F47" s="15"/>
      <c r="G47" s="15"/>
      <c r="H47" s="15"/>
      <c r="I47" s="15" t="s">
        <v>64</v>
      </c>
      <c r="J47" s="15"/>
      <c r="K47" s="15"/>
      <c r="L47" s="16" t="s">
        <v>98</v>
      </c>
      <c r="M47" s="16"/>
      <c r="N47" s="16"/>
      <c r="O47" s="16"/>
      <c r="P47" s="16"/>
      <c r="Q47" s="16"/>
      <c r="R47" s="17" t="s">
        <v>89</v>
      </c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 spans="1:30" ht="17.25" x14ac:dyDescent="0.3">
      <c r="A48" s="14" t="s">
        <v>54</v>
      </c>
      <c r="B48" s="15" t="s">
        <v>83</v>
      </c>
      <c r="C48" s="15"/>
      <c r="D48" s="15"/>
      <c r="E48" s="15"/>
      <c r="F48" s="15"/>
      <c r="G48" s="15"/>
      <c r="H48" s="15"/>
      <c r="I48" s="15" t="s">
        <v>68</v>
      </c>
      <c r="J48" s="15"/>
      <c r="K48" s="15"/>
      <c r="L48" s="16" t="s">
        <v>90</v>
      </c>
      <c r="M48" s="16"/>
      <c r="N48" s="16"/>
      <c r="O48" s="16"/>
      <c r="P48" s="16"/>
      <c r="Q48" s="16"/>
      <c r="R48" s="17" t="s">
        <v>91</v>
      </c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 spans="1:30" x14ac:dyDescent="0.3">
      <c r="A49" s="19"/>
      <c r="B49" s="20"/>
      <c r="C49" s="20"/>
      <c r="D49" s="20"/>
      <c r="E49" s="20"/>
      <c r="F49" s="20"/>
      <c r="G49" s="20"/>
      <c r="H49" s="20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3" spans="1:30" x14ac:dyDescent="0.3">
      <c r="B53" s="21" t="s">
        <v>99</v>
      </c>
      <c r="M53" s="6"/>
      <c r="Q53" s="21" t="s">
        <v>100</v>
      </c>
      <c r="AB53" s="6"/>
    </row>
    <row r="54" spans="1:30" x14ac:dyDescent="0.3">
      <c r="B54" s="22" t="s">
        <v>101</v>
      </c>
      <c r="C54" s="23" t="s">
        <v>2</v>
      </c>
      <c r="D54" s="22" t="s">
        <v>16</v>
      </c>
      <c r="E54" s="22" t="s">
        <v>17</v>
      </c>
      <c r="F54" s="22" t="s">
        <v>18</v>
      </c>
      <c r="G54" s="22" t="s">
        <v>19</v>
      </c>
      <c r="H54" s="22" t="s">
        <v>20</v>
      </c>
      <c r="I54" s="22" t="s">
        <v>21</v>
      </c>
      <c r="J54" s="22" t="s">
        <v>22</v>
      </c>
      <c r="K54" s="22" t="s">
        <v>23</v>
      </c>
      <c r="L54" s="22" t="s">
        <v>24</v>
      </c>
      <c r="M54" s="22" t="s">
        <v>25</v>
      </c>
      <c r="N54" s="22" t="s">
        <v>102</v>
      </c>
      <c r="O54" s="22" t="s">
        <v>103</v>
      </c>
      <c r="Q54" s="22" t="s">
        <v>104</v>
      </c>
      <c r="R54" s="23" t="s">
        <v>2</v>
      </c>
      <c r="S54" s="22" t="s">
        <v>16</v>
      </c>
      <c r="T54" s="22" t="s">
        <v>17</v>
      </c>
      <c r="U54" s="22" t="s">
        <v>18</v>
      </c>
      <c r="V54" s="22" t="s">
        <v>19</v>
      </c>
      <c r="W54" s="22" t="s">
        <v>20</v>
      </c>
      <c r="X54" s="22" t="s">
        <v>21</v>
      </c>
      <c r="Y54" s="22" t="s">
        <v>22</v>
      </c>
      <c r="Z54" s="22" t="s">
        <v>23</v>
      </c>
      <c r="AA54" s="22" t="s">
        <v>24</v>
      </c>
      <c r="AB54" s="22" t="s">
        <v>25</v>
      </c>
      <c r="AC54" s="22" t="s">
        <v>105</v>
      </c>
      <c r="AD54" s="22" t="s">
        <v>106</v>
      </c>
    </row>
    <row r="55" spans="1:30" x14ac:dyDescent="0.3">
      <c r="B55" s="24" t="str">
        <f>A7</f>
        <v>P01</v>
      </c>
      <c r="C55" s="24" t="str">
        <f>B7</f>
        <v>건설</v>
      </c>
      <c r="D55" s="25">
        <f>+P7-1</f>
        <v>3</v>
      </c>
      <c r="E55" s="25">
        <f>5-Q7</f>
        <v>3</v>
      </c>
      <c r="F55" s="25">
        <f>+R7-1</f>
        <v>3</v>
      </c>
      <c r="G55" s="25">
        <f>5-S7</f>
        <v>1</v>
      </c>
      <c r="H55" s="25">
        <f>+T7-1</f>
        <v>1</v>
      </c>
      <c r="I55" s="25">
        <f>5-U7</f>
        <v>2</v>
      </c>
      <c r="J55" s="25">
        <f>+V7-1</f>
        <v>1</v>
      </c>
      <c r="K55" s="25">
        <f>5-W7</f>
        <v>1</v>
      </c>
      <c r="L55" s="25">
        <f>+X7-1</f>
        <v>3</v>
      </c>
      <c r="M55" s="25">
        <f>5-Y7</f>
        <v>2</v>
      </c>
      <c r="N55" s="25">
        <f>SUM(D55:M55)</f>
        <v>20</v>
      </c>
      <c r="O55" s="26">
        <f t="shared" ref="O55:O64" si="0">+N55*2.5</f>
        <v>50</v>
      </c>
      <c r="Q55" s="24" t="str">
        <f>A17</f>
        <v>P01</v>
      </c>
      <c r="R55" s="24" t="str">
        <f>B17</f>
        <v>건설</v>
      </c>
      <c r="S55" s="25">
        <f>+P17-1</f>
        <v>3</v>
      </c>
      <c r="T55" s="25">
        <f>5-Q17</f>
        <v>3</v>
      </c>
      <c r="U55" s="25">
        <f>+R17-1</f>
        <v>3</v>
      </c>
      <c r="V55" s="25">
        <f>5-S17</f>
        <v>2</v>
      </c>
      <c r="W55" s="25">
        <f>+T17-1</f>
        <v>2</v>
      </c>
      <c r="X55" s="25">
        <f>5-U17</f>
        <v>2</v>
      </c>
      <c r="Y55" s="25">
        <f>+V17-1</f>
        <v>1</v>
      </c>
      <c r="Z55" s="25">
        <f>5-W17</f>
        <v>1</v>
      </c>
      <c r="AA55" s="25">
        <f>+X17-1</f>
        <v>3</v>
      </c>
      <c r="AB55" s="25">
        <f>5-Y17</f>
        <v>2</v>
      </c>
      <c r="AC55" s="25">
        <f>SUM(S55:AB55)</f>
        <v>22</v>
      </c>
      <c r="AD55" s="26">
        <f t="shared" ref="AD55:AD64" si="1">+AC55*2.5</f>
        <v>55</v>
      </c>
    </row>
    <row r="56" spans="1:30" x14ac:dyDescent="0.3">
      <c r="B56" s="24" t="str">
        <f>A8</f>
        <v>P02</v>
      </c>
      <c r="C56" s="24" t="str">
        <f>B8</f>
        <v>일반</v>
      </c>
      <c r="D56" s="25">
        <f>+P8-1</f>
        <v>2</v>
      </c>
      <c r="E56" s="25">
        <f>5-Q8</f>
        <v>2</v>
      </c>
      <c r="F56" s="25">
        <f>+R8-1</f>
        <v>3</v>
      </c>
      <c r="G56" s="25">
        <f>5-S8</f>
        <v>2</v>
      </c>
      <c r="H56" s="25">
        <f>+T8-1</f>
        <v>1</v>
      </c>
      <c r="I56" s="25">
        <f>5-U8</f>
        <v>3</v>
      </c>
      <c r="J56" s="25">
        <f>+V8-1</f>
        <v>1</v>
      </c>
      <c r="K56" s="25">
        <f>5-W8</f>
        <v>1</v>
      </c>
      <c r="L56" s="25">
        <f>+X8-1</f>
        <v>2</v>
      </c>
      <c r="M56" s="25">
        <f>5-Y8</f>
        <v>1</v>
      </c>
      <c r="N56" s="25">
        <f t="shared" ref="N56:N64" si="2">SUM(D56:M56)</f>
        <v>18</v>
      </c>
      <c r="O56" s="26">
        <f t="shared" si="0"/>
        <v>45</v>
      </c>
      <c r="Q56" s="24" t="str">
        <f>A18</f>
        <v>P02</v>
      </c>
      <c r="R56" s="24" t="str">
        <f>B18</f>
        <v>일반</v>
      </c>
      <c r="S56" s="25">
        <f>+P18-1</f>
        <v>3</v>
      </c>
      <c r="T56" s="25">
        <f>5-Q18</f>
        <v>2</v>
      </c>
      <c r="U56" s="25">
        <f>+R18-1</f>
        <v>3</v>
      </c>
      <c r="V56" s="25">
        <f>5-S18</f>
        <v>2</v>
      </c>
      <c r="W56" s="25">
        <f>+T18-1</f>
        <v>1</v>
      </c>
      <c r="X56" s="25">
        <f>5-U18</f>
        <v>3</v>
      </c>
      <c r="Y56" s="25">
        <f>+V18-1</f>
        <v>2</v>
      </c>
      <c r="Z56" s="25">
        <f>5-W18</f>
        <v>2</v>
      </c>
      <c r="AA56" s="25">
        <f>+X18-1</f>
        <v>2</v>
      </c>
      <c r="AB56" s="25">
        <f>5-Y18</f>
        <v>1</v>
      </c>
      <c r="AC56" s="25">
        <f t="shared" ref="AC56:AC64" si="3">SUM(S56:AB56)</f>
        <v>21</v>
      </c>
      <c r="AD56" s="26">
        <f t="shared" si="1"/>
        <v>52.5</v>
      </c>
    </row>
    <row r="57" spans="1:30" x14ac:dyDescent="0.3">
      <c r="B57" s="24" t="str">
        <f>A9</f>
        <v>P03</v>
      </c>
      <c r="C57" s="24" t="str">
        <f>B9</f>
        <v>건설</v>
      </c>
      <c r="D57" s="25">
        <f>+P9-1</f>
        <v>2</v>
      </c>
      <c r="E57" s="25">
        <f>5-Q9</f>
        <v>1</v>
      </c>
      <c r="F57" s="25">
        <f>+R9-1</f>
        <v>2</v>
      </c>
      <c r="G57" s="25">
        <f>5-S9</f>
        <v>3</v>
      </c>
      <c r="H57" s="25">
        <f>+T9-1</f>
        <v>1</v>
      </c>
      <c r="I57" s="25">
        <f>5-U9</f>
        <v>3</v>
      </c>
      <c r="J57" s="25">
        <f>+V9-1</f>
        <v>1</v>
      </c>
      <c r="K57" s="25">
        <f>5-W9</f>
        <v>3</v>
      </c>
      <c r="L57" s="25">
        <f>+X9-1</f>
        <v>3</v>
      </c>
      <c r="M57" s="25">
        <f>5-Y9</f>
        <v>2</v>
      </c>
      <c r="N57" s="25">
        <f t="shared" si="2"/>
        <v>21</v>
      </c>
      <c r="O57" s="26">
        <f t="shared" si="0"/>
        <v>52.5</v>
      </c>
      <c r="Q57" s="24" t="str">
        <f>A19</f>
        <v>P03</v>
      </c>
      <c r="R57" s="24" t="str">
        <f>B19</f>
        <v>건설</v>
      </c>
      <c r="S57" s="25">
        <f>+P19-1</f>
        <v>2</v>
      </c>
      <c r="T57" s="25">
        <f>5-Q19</f>
        <v>2</v>
      </c>
      <c r="U57" s="25">
        <f>+R19-1</f>
        <v>2</v>
      </c>
      <c r="V57" s="25">
        <f>5-S19</f>
        <v>3</v>
      </c>
      <c r="W57" s="25">
        <f>+T19-1</f>
        <v>1</v>
      </c>
      <c r="X57" s="25">
        <f>5-U19</f>
        <v>2</v>
      </c>
      <c r="Y57" s="25">
        <f>+V19-1</f>
        <v>1</v>
      </c>
      <c r="Z57" s="25">
        <f>5-W19</f>
        <v>3</v>
      </c>
      <c r="AA57" s="25">
        <f>+X19-1</f>
        <v>3</v>
      </c>
      <c r="AB57" s="25">
        <f>5-Y19</f>
        <v>2</v>
      </c>
      <c r="AC57" s="25">
        <f t="shared" si="3"/>
        <v>21</v>
      </c>
      <c r="AD57" s="26">
        <f t="shared" si="1"/>
        <v>52.5</v>
      </c>
    </row>
    <row r="58" spans="1:30" x14ac:dyDescent="0.3">
      <c r="B58" s="24" t="str">
        <f>A10</f>
        <v>P04</v>
      </c>
      <c r="C58" s="24" t="str">
        <f>B10</f>
        <v>일반</v>
      </c>
      <c r="D58" s="25">
        <f>+P10-1</f>
        <v>1</v>
      </c>
      <c r="E58" s="25">
        <f>5-Q10</f>
        <v>3</v>
      </c>
      <c r="F58" s="25">
        <f>+R10-1</f>
        <v>2</v>
      </c>
      <c r="G58" s="25">
        <f>5-S10</f>
        <v>3</v>
      </c>
      <c r="H58" s="25">
        <f>+T10-1</f>
        <v>1</v>
      </c>
      <c r="I58" s="25">
        <f>5-U10</f>
        <v>1</v>
      </c>
      <c r="J58" s="25">
        <f>+V10-1</f>
        <v>1</v>
      </c>
      <c r="K58" s="25">
        <f>5-W10</f>
        <v>2</v>
      </c>
      <c r="L58" s="25">
        <f>+X10-1</f>
        <v>1</v>
      </c>
      <c r="M58" s="25">
        <f>5-Y10</f>
        <v>3</v>
      </c>
      <c r="N58" s="25">
        <f t="shared" si="2"/>
        <v>18</v>
      </c>
      <c r="O58" s="26">
        <f t="shared" si="0"/>
        <v>45</v>
      </c>
      <c r="Q58" s="24" t="str">
        <f>A20</f>
        <v>P04</v>
      </c>
      <c r="R58" s="24" t="str">
        <f>B20</f>
        <v>일반</v>
      </c>
      <c r="S58" s="25">
        <f>+P20-1</f>
        <v>1</v>
      </c>
      <c r="T58" s="25">
        <f>5-Q20</f>
        <v>3</v>
      </c>
      <c r="U58" s="25">
        <f>+R20-1</f>
        <v>2</v>
      </c>
      <c r="V58" s="25">
        <f>5-S20</f>
        <v>3</v>
      </c>
      <c r="W58" s="25">
        <f>+T20-1</f>
        <v>1</v>
      </c>
      <c r="X58" s="25">
        <f>5-U20</f>
        <v>1</v>
      </c>
      <c r="Y58" s="25">
        <f>+V20-1</f>
        <v>2</v>
      </c>
      <c r="Z58" s="25">
        <f>5-W20</f>
        <v>2</v>
      </c>
      <c r="AA58" s="25">
        <f>+X20-1</f>
        <v>1</v>
      </c>
      <c r="AB58" s="25">
        <f>5-Y20</f>
        <v>3</v>
      </c>
      <c r="AC58" s="25">
        <f t="shared" si="3"/>
        <v>19</v>
      </c>
      <c r="AD58" s="26">
        <f t="shared" si="1"/>
        <v>47.5</v>
      </c>
    </row>
    <row r="59" spans="1:30" x14ac:dyDescent="0.3">
      <c r="B59" s="24" t="str">
        <f>A11</f>
        <v>P05</v>
      </c>
      <c r="C59" s="24" t="str">
        <f>B11</f>
        <v>건설</v>
      </c>
      <c r="D59" s="25">
        <f>+P11-1</f>
        <v>2</v>
      </c>
      <c r="E59" s="25">
        <f>5-Q11</f>
        <v>3</v>
      </c>
      <c r="F59" s="25">
        <f>+R11-1</f>
        <v>3</v>
      </c>
      <c r="G59" s="25">
        <f>5-S11</f>
        <v>3</v>
      </c>
      <c r="H59" s="25">
        <f>+T11-1</f>
        <v>1</v>
      </c>
      <c r="I59" s="25">
        <f>5-U11</f>
        <v>1</v>
      </c>
      <c r="J59" s="25">
        <f>+V11-1</f>
        <v>2</v>
      </c>
      <c r="K59" s="25">
        <f>5-W11</f>
        <v>1</v>
      </c>
      <c r="L59" s="25">
        <f>+X11-1</f>
        <v>1</v>
      </c>
      <c r="M59" s="25">
        <f>5-Y11</f>
        <v>3</v>
      </c>
      <c r="N59" s="25">
        <f t="shared" si="2"/>
        <v>20</v>
      </c>
      <c r="O59" s="26">
        <f t="shared" si="0"/>
        <v>50</v>
      </c>
      <c r="Q59" s="24" t="str">
        <f>A21</f>
        <v>P05</v>
      </c>
      <c r="R59" s="24" t="str">
        <f>B21</f>
        <v>건설</v>
      </c>
      <c r="S59" s="25">
        <f>+P21-1</f>
        <v>2</v>
      </c>
      <c r="T59" s="25">
        <f>5-Q21</f>
        <v>3</v>
      </c>
      <c r="U59" s="25">
        <f>+R21-1</f>
        <v>3</v>
      </c>
      <c r="V59" s="25">
        <f>5-S21</f>
        <v>3</v>
      </c>
      <c r="W59" s="25">
        <f>+T21-1</f>
        <v>1</v>
      </c>
      <c r="X59" s="25">
        <f>5-U21</f>
        <v>2</v>
      </c>
      <c r="Y59" s="25">
        <f>+V21-1</f>
        <v>2</v>
      </c>
      <c r="Z59" s="25">
        <f>5-W21</f>
        <v>1</v>
      </c>
      <c r="AA59" s="25">
        <f>+X21-1</f>
        <v>3</v>
      </c>
      <c r="AB59" s="25">
        <f>5-Y21</f>
        <v>3</v>
      </c>
      <c r="AC59" s="25">
        <f t="shared" si="3"/>
        <v>23</v>
      </c>
      <c r="AD59" s="26">
        <f t="shared" si="1"/>
        <v>57.5</v>
      </c>
    </row>
    <row r="60" spans="1:30" x14ac:dyDescent="0.3">
      <c r="B60" s="24" t="str">
        <f>A12</f>
        <v>P06</v>
      </c>
      <c r="C60" s="24" t="str">
        <f>B12</f>
        <v>일반</v>
      </c>
      <c r="D60" s="25">
        <f>+P12-1</f>
        <v>2</v>
      </c>
      <c r="E60" s="25">
        <f>5-Q12</f>
        <v>1</v>
      </c>
      <c r="F60" s="25">
        <f>+R12-1</f>
        <v>1</v>
      </c>
      <c r="G60" s="25">
        <f>5-S12</f>
        <v>2</v>
      </c>
      <c r="H60" s="25">
        <f>+T12-1</f>
        <v>3</v>
      </c>
      <c r="I60" s="25">
        <f>5-U12</f>
        <v>2</v>
      </c>
      <c r="J60" s="25">
        <f>+V12-1</f>
        <v>3</v>
      </c>
      <c r="K60" s="25">
        <f>5-W12</f>
        <v>3</v>
      </c>
      <c r="L60" s="25">
        <f>+X12-1</f>
        <v>2</v>
      </c>
      <c r="M60" s="25">
        <f>5-Y12</f>
        <v>2</v>
      </c>
      <c r="N60" s="25">
        <f t="shared" si="2"/>
        <v>21</v>
      </c>
      <c r="O60" s="26">
        <f t="shared" si="0"/>
        <v>52.5</v>
      </c>
      <c r="Q60" s="24" t="str">
        <f>A22</f>
        <v>P06</v>
      </c>
      <c r="R60" s="24" t="str">
        <f>B22</f>
        <v>일반</v>
      </c>
      <c r="S60" s="25">
        <f>+P22-1</f>
        <v>2</v>
      </c>
      <c r="T60" s="25">
        <f>5-Q22</f>
        <v>1</v>
      </c>
      <c r="U60" s="25">
        <f>+R22-1</f>
        <v>2</v>
      </c>
      <c r="V60" s="25">
        <f>5-S22</f>
        <v>2</v>
      </c>
      <c r="W60" s="25">
        <f>+T22-1</f>
        <v>3</v>
      </c>
      <c r="X60" s="25">
        <f>5-U22</f>
        <v>2</v>
      </c>
      <c r="Y60" s="25">
        <f>+V22-1</f>
        <v>3</v>
      </c>
      <c r="Z60" s="25">
        <f>5-W22</f>
        <v>3</v>
      </c>
      <c r="AA60" s="25">
        <f>+X22-1</f>
        <v>2</v>
      </c>
      <c r="AB60" s="25">
        <f>5-Y22</f>
        <v>2</v>
      </c>
      <c r="AC60" s="25">
        <f t="shared" si="3"/>
        <v>22</v>
      </c>
      <c r="AD60" s="26">
        <f t="shared" si="1"/>
        <v>55</v>
      </c>
    </row>
    <row r="61" spans="1:30" x14ac:dyDescent="0.3">
      <c r="B61" s="24" t="str">
        <f>A13</f>
        <v>P07</v>
      </c>
      <c r="C61" s="24" t="str">
        <f>B13</f>
        <v>건설</v>
      </c>
      <c r="D61" s="25">
        <f>+P13-1</f>
        <v>1</v>
      </c>
      <c r="E61" s="25">
        <f>5-Q13</f>
        <v>1</v>
      </c>
      <c r="F61" s="25">
        <f>+R13-1</f>
        <v>2</v>
      </c>
      <c r="G61" s="25">
        <f>5-S13</f>
        <v>2</v>
      </c>
      <c r="H61" s="25">
        <f>+T13-1</f>
        <v>3</v>
      </c>
      <c r="I61" s="25">
        <f>5-U13</f>
        <v>3</v>
      </c>
      <c r="J61" s="25">
        <f>+V13-1</f>
        <v>1</v>
      </c>
      <c r="K61" s="25">
        <f>5-W13</f>
        <v>1</v>
      </c>
      <c r="L61" s="25">
        <f>+X13-1</f>
        <v>1</v>
      </c>
      <c r="M61" s="25">
        <f>5-Y13</f>
        <v>1</v>
      </c>
      <c r="N61" s="25">
        <f t="shared" si="2"/>
        <v>16</v>
      </c>
      <c r="O61" s="26">
        <f t="shared" si="0"/>
        <v>40</v>
      </c>
      <c r="Q61" s="24" t="str">
        <f>A23</f>
        <v>P07</v>
      </c>
      <c r="R61" s="24" t="str">
        <f>B23</f>
        <v>건설</v>
      </c>
      <c r="S61" s="25">
        <f>+P23-1</f>
        <v>1</v>
      </c>
      <c r="T61" s="25">
        <f>5-Q23</f>
        <v>2</v>
      </c>
      <c r="U61" s="25">
        <f>+R23-1</f>
        <v>2</v>
      </c>
      <c r="V61" s="25">
        <f>5-S23</f>
        <v>2</v>
      </c>
      <c r="W61" s="25">
        <f>+T23-1</f>
        <v>3</v>
      </c>
      <c r="X61" s="25">
        <f>5-U23</f>
        <v>3</v>
      </c>
      <c r="Y61" s="25">
        <f>+V23-1</f>
        <v>1</v>
      </c>
      <c r="Z61" s="25">
        <f>5-W23</f>
        <v>1</v>
      </c>
      <c r="AA61" s="25">
        <f>+X23-1</f>
        <v>1</v>
      </c>
      <c r="AB61" s="25">
        <f>5-Y23</f>
        <v>1</v>
      </c>
      <c r="AC61" s="25">
        <f t="shared" si="3"/>
        <v>17</v>
      </c>
      <c r="AD61" s="26">
        <f t="shared" si="1"/>
        <v>42.5</v>
      </c>
    </row>
    <row r="62" spans="1:30" x14ac:dyDescent="0.3">
      <c r="B62" s="24" t="str">
        <f>A14</f>
        <v>P08</v>
      </c>
      <c r="C62" s="24" t="str">
        <f>B14</f>
        <v>일반</v>
      </c>
      <c r="D62" s="25">
        <f>+P14-1</f>
        <v>3</v>
      </c>
      <c r="E62" s="25">
        <f>5-Q14</f>
        <v>2</v>
      </c>
      <c r="F62" s="25">
        <f>+R14-1</f>
        <v>3</v>
      </c>
      <c r="G62" s="25">
        <f>5-S14</f>
        <v>3</v>
      </c>
      <c r="H62" s="25">
        <f>+T14-1</f>
        <v>1</v>
      </c>
      <c r="I62" s="25">
        <f>5-U14</f>
        <v>1</v>
      </c>
      <c r="J62" s="25">
        <f>+V14-1</f>
        <v>1</v>
      </c>
      <c r="K62" s="25">
        <f>5-W14</f>
        <v>1</v>
      </c>
      <c r="L62" s="25">
        <f>+X14-1</f>
        <v>2</v>
      </c>
      <c r="M62" s="25">
        <f>5-Y14</f>
        <v>1</v>
      </c>
      <c r="N62" s="25">
        <f t="shared" si="2"/>
        <v>18</v>
      </c>
      <c r="O62" s="26">
        <f t="shared" si="0"/>
        <v>45</v>
      </c>
      <c r="Q62" s="24" t="str">
        <f>A24</f>
        <v>P08</v>
      </c>
      <c r="R62" s="24" t="str">
        <f>B24</f>
        <v>일반</v>
      </c>
      <c r="S62" s="25">
        <f>+P24-1</f>
        <v>3</v>
      </c>
      <c r="T62" s="25">
        <f>5-Q24</f>
        <v>2</v>
      </c>
      <c r="U62" s="25">
        <f>+R24-1</f>
        <v>3</v>
      </c>
      <c r="V62" s="25">
        <f>5-S24</f>
        <v>3</v>
      </c>
      <c r="W62" s="25">
        <f>+T24-1</f>
        <v>1</v>
      </c>
      <c r="X62" s="25">
        <f>5-U24</f>
        <v>1</v>
      </c>
      <c r="Y62" s="25">
        <f>+V24-1</f>
        <v>1</v>
      </c>
      <c r="Z62" s="25">
        <f>5-W24</f>
        <v>1</v>
      </c>
      <c r="AA62" s="25">
        <f>+X24-1</f>
        <v>2</v>
      </c>
      <c r="AB62" s="25">
        <f>5-Y24</f>
        <v>1</v>
      </c>
      <c r="AC62" s="25">
        <f t="shared" si="3"/>
        <v>18</v>
      </c>
      <c r="AD62" s="26">
        <f t="shared" si="1"/>
        <v>45</v>
      </c>
    </row>
    <row r="63" spans="1:30" x14ac:dyDescent="0.3">
      <c r="B63" s="24" t="str">
        <f>A15</f>
        <v>P09</v>
      </c>
      <c r="C63" s="24" t="str">
        <f>B15</f>
        <v>건설</v>
      </c>
      <c r="D63" s="25">
        <f>+P15-1</f>
        <v>3</v>
      </c>
      <c r="E63" s="25">
        <f>5-Q15</f>
        <v>3</v>
      </c>
      <c r="F63" s="25">
        <f>+R15-1</f>
        <v>3</v>
      </c>
      <c r="G63" s="25">
        <f>5-S15</f>
        <v>2</v>
      </c>
      <c r="H63" s="25">
        <f>+T15-1</f>
        <v>1</v>
      </c>
      <c r="I63" s="25">
        <f>5-U15</f>
        <v>2</v>
      </c>
      <c r="J63" s="25">
        <f>+V15-1</f>
        <v>2</v>
      </c>
      <c r="K63" s="25">
        <f>5-W15</f>
        <v>3</v>
      </c>
      <c r="L63" s="25">
        <f>+X15-1</f>
        <v>2</v>
      </c>
      <c r="M63" s="25">
        <f>5-Y15</f>
        <v>3</v>
      </c>
      <c r="N63" s="25">
        <f t="shared" si="2"/>
        <v>24</v>
      </c>
      <c r="O63" s="26">
        <f t="shared" si="0"/>
        <v>60</v>
      </c>
      <c r="Q63" s="24" t="str">
        <f>A25</f>
        <v>P09</v>
      </c>
      <c r="R63" s="24" t="str">
        <f>B25</f>
        <v>건설</v>
      </c>
      <c r="S63" s="25">
        <f>+P25-1</f>
        <v>3</v>
      </c>
      <c r="T63" s="25">
        <f>5-Q25</f>
        <v>3</v>
      </c>
      <c r="U63" s="25">
        <f>+R25-1</f>
        <v>3</v>
      </c>
      <c r="V63" s="25">
        <f>5-S25</f>
        <v>3</v>
      </c>
      <c r="W63" s="25">
        <f>+T25-1</f>
        <v>1</v>
      </c>
      <c r="X63" s="25">
        <f>5-U25</f>
        <v>2</v>
      </c>
      <c r="Y63" s="25">
        <f>+V25-1</f>
        <v>2</v>
      </c>
      <c r="Z63" s="25">
        <f>5-W25</f>
        <v>3</v>
      </c>
      <c r="AA63" s="25">
        <f>+X25-1</f>
        <v>2</v>
      </c>
      <c r="AB63" s="25">
        <f>5-Y25</f>
        <v>3</v>
      </c>
      <c r="AC63" s="25">
        <f t="shared" si="3"/>
        <v>25</v>
      </c>
      <c r="AD63" s="26">
        <f t="shared" si="1"/>
        <v>62.5</v>
      </c>
    </row>
    <row r="64" spans="1:30" x14ac:dyDescent="0.3">
      <c r="B64" s="24" t="str">
        <f>A16</f>
        <v>P10</v>
      </c>
      <c r="C64" s="24" t="str">
        <f>B16</f>
        <v>일반</v>
      </c>
      <c r="D64" s="25">
        <f>+P16-1</f>
        <v>2</v>
      </c>
      <c r="E64" s="25">
        <f>5-Q16</f>
        <v>2</v>
      </c>
      <c r="F64" s="25">
        <f>+R16-1</f>
        <v>3</v>
      </c>
      <c r="G64" s="25">
        <f>5-S16</f>
        <v>3</v>
      </c>
      <c r="H64" s="25">
        <f>+T16-1</f>
        <v>2</v>
      </c>
      <c r="I64" s="25">
        <f>5-U16</f>
        <v>3</v>
      </c>
      <c r="J64" s="25">
        <f>+V16-1</f>
        <v>3</v>
      </c>
      <c r="K64" s="25">
        <f>5-W16</f>
        <v>1</v>
      </c>
      <c r="L64" s="25">
        <f>+X16-1</f>
        <v>2</v>
      </c>
      <c r="M64" s="25">
        <f>5-Y16</f>
        <v>2</v>
      </c>
      <c r="N64" s="25">
        <f t="shared" si="2"/>
        <v>23</v>
      </c>
      <c r="O64" s="26">
        <f t="shared" si="0"/>
        <v>57.5</v>
      </c>
      <c r="Q64" s="24" t="str">
        <f>A26</f>
        <v>P10</v>
      </c>
      <c r="R64" s="24" t="str">
        <f>B26</f>
        <v>일반</v>
      </c>
      <c r="S64" s="25">
        <f>+P26-1</f>
        <v>2</v>
      </c>
      <c r="T64" s="25">
        <f>5-Q26</f>
        <v>3</v>
      </c>
      <c r="U64" s="25">
        <f>+R26-1</f>
        <v>3</v>
      </c>
      <c r="V64" s="25">
        <f>5-S26</f>
        <v>3</v>
      </c>
      <c r="W64" s="25">
        <f>+T26-1</f>
        <v>2</v>
      </c>
      <c r="X64" s="25">
        <f>5-U26</f>
        <v>3</v>
      </c>
      <c r="Y64" s="25">
        <f>+V26-1</f>
        <v>3</v>
      </c>
      <c r="Z64" s="25">
        <f>5-W26</f>
        <v>2</v>
      </c>
      <c r="AA64" s="25">
        <f>+X26-1</f>
        <v>2</v>
      </c>
      <c r="AB64" s="25">
        <f>5-Y26</f>
        <v>2</v>
      </c>
      <c r="AC64" s="25">
        <f t="shared" si="3"/>
        <v>25</v>
      </c>
      <c r="AD64" s="26">
        <f t="shared" si="1"/>
        <v>62.5</v>
      </c>
    </row>
    <row r="65" spans="2:30" x14ac:dyDescent="0.3">
      <c r="M65" s="2" t="s">
        <v>107</v>
      </c>
      <c r="N65" s="2" t="s">
        <v>32</v>
      </c>
      <c r="O65" s="27">
        <f>SUMIF(C55:C64,N65,O55:O64)/5</f>
        <v>50.5</v>
      </c>
      <c r="AB65" s="2" t="s">
        <v>107</v>
      </c>
      <c r="AC65" s="2" t="s">
        <v>108</v>
      </c>
      <c r="AD65" s="27">
        <f>SUMIF(R55:R64,AC65,AD55:AD64)/5</f>
        <v>54</v>
      </c>
    </row>
    <row r="66" spans="2:30" x14ac:dyDescent="0.3">
      <c r="N66" s="2" t="s">
        <v>109</v>
      </c>
      <c r="O66" s="27">
        <f>SUMIF(C55:C64,N66,O55:O64)/5</f>
        <v>49</v>
      </c>
      <c r="AC66" s="2" t="s">
        <v>109</v>
      </c>
      <c r="AD66" s="27">
        <f>SUMIF(R55:R64,AC66,AD55:AD64)/5</f>
        <v>52.5</v>
      </c>
    </row>
    <row r="67" spans="2:30" x14ac:dyDescent="0.3">
      <c r="B67" s="21" t="s">
        <v>110</v>
      </c>
      <c r="F67" s="21" t="s">
        <v>111</v>
      </c>
      <c r="N67" s="28" t="s">
        <v>112</v>
      </c>
      <c r="O67" s="29">
        <f>SUM(O55:O64)/10</f>
        <v>49.75</v>
      </c>
      <c r="Q67" s="21" t="s">
        <v>113</v>
      </c>
      <c r="U67" s="21" t="s">
        <v>111</v>
      </c>
      <c r="AC67" s="28" t="s">
        <v>114</v>
      </c>
      <c r="AD67" s="29">
        <f>SUM(AD55:AD64)/10</f>
        <v>53.25</v>
      </c>
    </row>
    <row r="68" spans="2:30" x14ac:dyDescent="0.3">
      <c r="B68" s="30" t="s">
        <v>115</v>
      </c>
      <c r="C68" s="30" t="s">
        <v>116</v>
      </c>
      <c r="D68" s="30" t="s">
        <v>117</v>
      </c>
      <c r="F68" s="30" t="s">
        <v>115</v>
      </c>
      <c r="G68" s="30" t="s">
        <v>116</v>
      </c>
      <c r="H68" s="30" t="s">
        <v>117</v>
      </c>
      <c r="M68" s="2" t="s">
        <v>117</v>
      </c>
      <c r="N68" s="2" t="s">
        <v>108</v>
      </c>
      <c r="O68" s="27">
        <f t="array" ref="O68">_xlfn.STDEV.S(IF(C55:C64=N68, O55:O64))</f>
        <v>7.1589105316381767</v>
      </c>
      <c r="Q68" s="30" t="s">
        <v>115</v>
      </c>
      <c r="R68" s="30" t="s">
        <v>118</v>
      </c>
      <c r="S68" s="30" t="s">
        <v>117</v>
      </c>
      <c r="U68" s="30" t="s">
        <v>115</v>
      </c>
      <c r="V68" s="30" t="s">
        <v>118</v>
      </c>
      <c r="W68" s="30" t="s">
        <v>117</v>
      </c>
      <c r="AB68" s="2" t="s">
        <v>117</v>
      </c>
      <c r="AC68" s="2" t="s">
        <v>32</v>
      </c>
      <c r="AD68" s="27">
        <f t="array" ref="AD68">_xlfn.STDEV.S(IF(R55:R64=AC68, AD55:AD64))</f>
        <v>7.416198487095663</v>
      </c>
    </row>
    <row r="69" spans="2:30" x14ac:dyDescent="0.3">
      <c r="B69" s="26" t="s">
        <v>119</v>
      </c>
      <c r="C69" s="31">
        <f>AVERAGE(Z7:Z16)</f>
        <v>0.3</v>
      </c>
      <c r="D69" s="32">
        <f>_xlfn.STDEV.S(Z7:Z16)</f>
        <v>0.67494855771055284</v>
      </c>
      <c r="F69" s="26" t="s">
        <v>120</v>
      </c>
      <c r="G69" s="31">
        <f>AVERAGE(L7:L16)</f>
        <v>4.2</v>
      </c>
      <c r="H69" s="32">
        <f>_xlfn.STDEV.S(L7:L16)</f>
        <v>0.91893658347268103</v>
      </c>
      <c r="N69" s="2" t="s">
        <v>48</v>
      </c>
      <c r="O69" s="27">
        <f t="array" ref="O69">_xlfn.STDEV.S(IF(C55:C64=N69, O55:O64))</f>
        <v>5.7554322166106688</v>
      </c>
      <c r="Q69" s="26" t="s">
        <v>119</v>
      </c>
      <c r="R69" s="31">
        <f>AVERAGE(Z17:Z26)</f>
        <v>0.7</v>
      </c>
      <c r="S69" s="32">
        <f>_xlfn.STDEV.S(Z17:Z26)</f>
        <v>0.67494855771055284</v>
      </c>
      <c r="U69" s="26" t="s">
        <v>120</v>
      </c>
      <c r="V69" s="31">
        <f>AVERAGE(L17:L26)</f>
        <v>5</v>
      </c>
      <c r="W69" s="32">
        <f>_xlfn.STDEV.S(L17:L26)</f>
        <v>0.81649658092772603</v>
      </c>
      <c r="AC69" s="2" t="s">
        <v>48</v>
      </c>
      <c r="AD69" s="27">
        <f t="array" ref="AD69">_xlfn.STDEV.S(IF(R55:R64=AC69, AD55:AD64))</f>
        <v>6.8465319688145767</v>
      </c>
    </row>
    <row r="70" spans="2:30" x14ac:dyDescent="0.3">
      <c r="B70" s="26" t="s">
        <v>121</v>
      </c>
      <c r="C70" s="31">
        <f>AVERAGE(AA7:AA16)</f>
        <v>-0.1</v>
      </c>
      <c r="D70" s="32">
        <f>_xlfn.STDEV.S(AA7:AA16)</f>
        <v>0.73786478737262184</v>
      </c>
      <c r="F70" s="26" t="s">
        <v>122</v>
      </c>
      <c r="G70" s="31">
        <f>AVERAGE(M7:M16)</f>
        <v>4</v>
      </c>
      <c r="H70" s="32">
        <f>_xlfn.STDEV.S(M7:M16)</f>
        <v>0.94280904158206336</v>
      </c>
      <c r="N70" s="28" t="s">
        <v>112</v>
      </c>
      <c r="O70" s="29">
        <f>_xlfn.STDEV.S(O55:O64)</f>
        <v>6.1745445176142342</v>
      </c>
      <c r="Q70" s="26" t="s">
        <v>123</v>
      </c>
      <c r="R70" s="31">
        <f>AVERAGE(AA17:AA26)</f>
        <v>0.7</v>
      </c>
      <c r="S70" s="32">
        <f>_xlfn.STDEV.S(AA17:AA26)</f>
        <v>0.67494855771055284</v>
      </c>
      <c r="U70" s="26" t="s">
        <v>122</v>
      </c>
      <c r="V70" s="31">
        <f>AVERAGE(M17:M26)</f>
        <v>5.2</v>
      </c>
      <c r="W70" s="32">
        <f>_xlfn.STDEV.S(M17:M26)</f>
        <v>0.91893658347268281</v>
      </c>
      <c r="AC70" s="28" t="s">
        <v>112</v>
      </c>
      <c r="AD70" s="29">
        <f>_xlfn.STDEV.S(AD55:AD64)</f>
        <v>6.7751588747259479</v>
      </c>
    </row>
    <row r="71" spans="2:30" x14ac:dyDescent="0.3">
      <c r="B71" s="26" t="s">
        <v>124</v>
      </c>
      <c r="C71" s="31">
        <f>AVERAGE(AB7:AB16)</f>
        <v>-0.3</v>
      </c>
      <c r="D71" s="32">
        <f>_xlfn.STDEV.S(AB7:AB16)</f>
        <v>0.48304589153964794</v>
      </c>
      <c r="F71" s="26" t="s">
        <v>125</v>
      </c>
      <c r="G71" s="31">
        <f>AVERAGE(N7:N16)</f>
        <v>4</v>
      </c>
      <c r="H71" s="32">
        <f>_xlfn.STDEV.S(N7:N16)</f>
        <v>0.81649658092772603</v>
      </c>
      <c r="Q71" s="26" t="s">
        <v>124</v>
      </c>
      <c r="R71" s="31">
        <f>AVERAGE(AB17:AB26)</f>
        <v>-0.3</v>
      </c>
      <c r="S71" s="32">
        <f>_xlfn.STDEV.S(AB17:AB26)</f>
        <v>0.48304589153964794</v>
      </c>
      <c r="U71" s="26" t="s">
        <v>125</v>
      </c>
      <c r="V71" s="31">
        <f>AVERAGE(N17:N26)</f>
        <v>4.9000000000000004</v>
      </c>
      <c r="W71" s="32">
        <f>_xlfn.STDEV.S(N17:N26)</f>
        <v>0.73786478737262229</v>
      </c>
    </row>
    <row r="72" spans="2:30" x14ac:dyDescent="0.3">
      <c r="B72" s="26" t="s">
        <v>126</v>
      </c>
      <c r="C72" s="31">
        <f>AVERAGE(AC7:AC16)</f>
        <v>0</v>
      </c>
      <c r="D72" s="32">
        <f>_xlfn.STDEV.S(AC7:AC16)</f>
        <v>0.66666666666666663</v>
      </c>
      <c r="F72" s="26" t="s">
        <v>127</v>
      </c>
      <c r="G72" s="31">
        <f>AVERAGE(O7:O16)</f>
        <v>3.8</v>
      </c>
      <c r="H72" s="32">
        <f>_xlfn.STDEV.S(O7:O16)</f>
        <v>0.91893658347268103</v>
      </c>
      <c r="Q72" s="26" t="s">
        <v>126</v>
      </c>
      <c r="R72" s="31">
        <f>AVERAGE(AC17:AC26)</f>
        <v>0.9</v>
      </c>
      <c r="S72" s="32">
        <f>_xlfn.STDEV.S(AC17:AC26)</f>
        <v>0.56764621219754674</v>
      </c>
      <c r="U72" s="26" t="s">
        <v>127</v>
      </c>
      <c r="V72" s="31">
        <f>AVERAGE(O17:O26)</f>
        <v>4.7</v>
      </c>
      <c r="W72" s="32">
        <f>_xlfn.STDEV.S(O17:O26)</f>
        <v>0.94868329805051343</v>
      </c>
    </row>
    <row r="73" spans="2:30" x14ac:dyDescent="0.3">
      <c r="B73" s="26" t="s">
        <v>128</v>
      </c>
      <c r="C73" s="31">
        <f>AVERAGE(AD7:AD16)</f>
        <v>0.9</v>
      </c>
      <c r="D73" s="32">
        <f>_xlfn.STDEV.S(AD7:AD16)</f>
        <v>1.1005049346146119</v>
      </c>
      <c r="Q73" s="26" t="s">
        <v>128</v>
      </c>
      <c r="R73" s="31">
        <f>AVERAGE(AD17:AD26)</f>
        <v>1.3</v>
      </c>
      <c r="S73" s="32">
        <f>_xlfn.STDEV.S(AD17:AD26)</f>
        <v>0.94868329805051388</v>
      </c>
    </row>
    <row r="78" spans="2:30" x14ac:dyDescent="0.3">
      <c r="B78" s="30" t="s">
        <v>129</v>
      </c>
      <c r="C78" s="30" t="s">
        <v>130</v>
      </c>
      <c r="D78" s="30" t="s">
        <v>131</v>
      </c>
    </row>
    <row r="79" spans="2:30" x14ac:dyDescent="0.3">
      <c r="B79" s="26" t="s">
        <v>55</v>
      </c>
      <c r="C79" s="26">
        <v>50</v>
      </c>
      <c r="D79" s="26">
        <v>55</v>
      </c>
    </row>
    <row r="80" spans="2:30" x14ac:dyDescent="0.3">
      <c r="B80" s="26" t="s">
        <v>37</v>
      </c>
      <c r="C80" s="26">
        <v>45</v>
      </c>
      <c r="D80" s="26">
        <v>52.5</v>
      </c>
    </row>
    <row r="81" spans="2:4" x14ac:dyDescent="0.3">
      <c r="B81" s="26" t="s">
        <v>57</v>
      </c>
      <c r="C81" s="26">
        <v>52.5</v>
      </c>
      <c r="D81" s="26">
        <v>52.5</v>
      </c>
    </row>
    <row r="82" spans="2:4" x14ac:dyDescent="0.3">
      <c r="B82" s="26" t="s">
        <v>42</v>
      </c>
      <c r="C82" s="26">
        <v>45</v>
      </c>
      <c r="D82" s="26">
        <v>47.5</v>
      </c>
    </row>
    <row r="83" spans="2:4" x14ac:dyDescent="0.3">
      <c r="B83" s="26" t="s">
        <v>45</v>
      </c>
      <c r="C83" s="26">
        <v>50</v>
      </c>
      <c r="D83" s="26">
        <v>57.5</v>
      </c>
    </row>
    <row r="84" spans="2:4" x14ac:dyDescent="0.3">
      <c r="B84" s="26" t="s">
        <v>47</v>
      </c>
      <c r="C84" s="26">
        <v>52.5</v>
      </c>
      <c r="D84" s="26">
        <v>55</v>
      </c>
    </row>
    <row r="85" spans="2:4" x14ac:dyDescent="0.3">
      <c r="B85" s="26" t="s">
        <v>49</v>
      </c>
      <c r="C85" s="26">
        <v>40</v>
      </c>
      <c r="D85" s="26">
        <v>42.5</v>
      </c>
    </row>
    <row r="86" spans="2:4" x14ac:dyDescent="0.3">
      <c r="B86" s="26" t="s">
        <v>51</v>
      </c>
      <c r="C86" s="26">
        <v>45</v>
      </c>
      <c r="D86" s="26">
        <v>45</v>
      </c>
    </row>
    <row r="87" spans="2:4" x14ac:dyDescent="0.3">
      <c r="B87" s="26" t="s">
        <v>53</v>
      </c>
      <c r="C87" s="26">
        <v>60</v>
      </c>
      <c r="D87" s="26">
        <v>62.5</v>
      </c>
    </row>
    <row r="88" spans="2:4" x14ac:dyDescent="0.3">
      <c r="B88" s="26" t="s">
        <v>54</v>
      </c>
      <c r="C88" s="26">
        <v>57.5</v>
      </c>
      <c r="D88" s="26">
        <v>62.5</v>
      </c>
    </row>
  </sheetData>
  <mergeCells count="86">
    <mergeCell ref="B48:H48"/>
    <mergeCell ref="I48:K48"/>
    <mergeCell ref="L48:Q48"/>
    <mergeCell ref="R48:AD48"/>
    <mergeCell ref="B49:H49"/>
    <mergeCell ref="B46:H46"/>
    <mergeCell ref="I46:K46"/>
    <mergeCell ref="L46:Q46"/>
    <mergeCell ref="R46:AD46"/>
    <mergeCell ref="B47:H47"/>
    <mergeCell ref="I47:K47"/>
    <mergeCell ref="L47:Q47"/>
    <mergeCell ref="R47:AD47"/>
    <mergeCell ref="B44:H44"/>
    <mergeCell ref="I44:K44"/>
    <mergeCell ref="L44:Q44"/>
    <mergeCell ref="R44:AD44"/>
    <mergeCell ref="B45:H45"/>
    <mergeCell ref="I45:K45"/>
    <mergeCell ref="L45:Q45"/>
    <mergeCell ref="R45:AD45"/>
    <mergeCell ref="B42:H42"/>
    <mergeCell ref="I42:K42"/>
    <mergeCell ref="L42:Q42"/>
    <mergeCell ref="R42:AD42"/>
    <mergeCell ref="B43:H43"/>
    <mergeCell ref="I43:K43"/>
    <mergeCell ref="L43:Q43"/>
    <mergeCell ref="R43:AD43"/>
    <mergeCell ref="B40:H40"/>
    <mergeCell ref="I40:K40"/>
    <mergeCell ref="L40:Q40"/>
    <mergeCell ref="R40:AD40"/>
    <mergeCell ref="B41:H41"/>
    <mergeCell ref="I41:K41"/>
    <mergeCell ref="L41:Q41"/>
    <mergeCell ref="R41:AD41"/>
    <mergeCell ref="B38:H38"/>
    <mergeCell ref="I38:K38"/>
    <mergeCell ref="L38:Q38"/>
    <mergeCell ref="R38:AD38"/>
    <mergeCell ref="B39:H39"/>
    <mergeCell ref="I39:K39"/>
    <mergeCell ref="L39:Q39"/>
    <mergeCell ref="R39:AD39"/>
    <mergeCell ref="B36:H36"/>
    <mergeCell ref="I36:K36"/>
    <mergeCell ref="L36:Q36"/>
    <mergeCell ref="R36:AD36"/>
    <mergeCell ref="B37:H37"/>
    <mergeCell ref="I37:K37"/>
    <mergeCell ref="L37:Q37"/>
    <mergeCell ref="R37:AD37"/>
    <mergeCell ref="B34:H34"/>
    <mergeCell ref="I34:K34"/>
    <mergeCell ref="L34:Q34"/>
    <mergeCell ref="R34:AD34"/>
    <mergeCell ref="B35:H35"/>
    <mergeCell ref="I35:K35"/>
    <mergeCell ref="L35:Q35"/>
    <mergeCell ref="R35:AD35"/>
    <mergeCell ref="B32:H32"/>
    <mergeCell ref="I32:K32"/>
    <mergeCell ref="L32:Q32"/>
    <mergeCell ref="R32:AD32"/>
    <mergeCell ref="B33:H33"/>
    <mergeCell ref="I33:K33"/>
    <mergeCell ref="L33:Q33"/>
    <mergeCell ref="R33:AD33"/>
    <mergeCell ref="B30:H30"/>
    <mergeCell ref="I30:K30"/>
    <mergeCell ref="L30:Q30"/>
    <mergeCell ref="R30:AD30"/>
    <mergeCell ref="B31:H31"/>
    <mergeCell ref="I31:K31"/>
    <mergeCell ref="L31:Q31"/>
    <mergeCell ref="R31:AD31"/>
    <mergeCell ref="A1:AD3"/>
    <mergeCell ref="B28:H28"/>
    <mergeCell ref="I28:K28"/>
    <mergeCell ref="L28:Q28"/>
    <mergeCell ref="R28:AD28"/>
    <mergeCell ref="B29:H29"/>
    <mergeCell ref="I29:K29"/>
    <mergeCell ref="L29:Q29"/>
    <mergeCell ref="R29:AD29"/>
  </mergeCells>
  <phoneticPr fontId="3" type="noConversion"/>
  <printOptions horizontalCentered="1"/>
  <pageMargins left="0" right="0" top="0.74803149606299213" bottom="0.74803149606299213" header="0.31496062992125984" footer="0.31496062992125984"/>
  <pageSetup paperSize="3" scale="72" orientation="landscape" r:id="rId1"/>
  <rowBreaks count="1" manualBreakCount="1">
    <brk id="5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설문조사정리</vt:lpstr>
      <vt:lpstr>설문조사정리!Print_Area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2025-11-28T01:16:13Z</dcterms:created>
  <dcterms:modified xsi:type="dcterms:W3CDTF">2025-11-28T01:16:31Z</dcterms:modified>
</cp:coreProperties>
</file>